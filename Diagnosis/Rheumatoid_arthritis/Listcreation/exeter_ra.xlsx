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Rheumatoid_arthritis/Listcreation/"/>
    </mc:Choice>
  </mc:AlternateContent>
  <xr:revisionPtr revIDLastSave="72" documentId="8_{D73EE1E2-C7FC-4EC5-B520-3690EC8977E0}" xr6:coauthVersionLast="47" xr6:coauthVersionMax="47" xr10:uidLastSave="{CF9A6D6A-ACF1-462C-A990-B725743A2CBB}"/>
  <bookViews>
    <workbookView xWindow="28680" yWindow="-2295" windowWidth="29040" windowHeight="15720" xr2:uid="{3582A971-EE44-4703-9DEA-34FD3ECC9CFF}"/>
  </bookViews>
  <sheets>
    <sheet name="exeter_ra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2" i="2"/>
</calcChain>
</file>

<file path=xl/sharedStrings.xml><?xml version="1.0" encoding="utf-8"?>
<sst xmlns="http://schemas.openxmlformats.org/spreadsheetml/2006/main" count="454" uniqueCount="440">
  <si>
    <t>MedCodeId</t>
  </si>
  <si>
    <t>Observations</t>
  </si>
  <si>
    <t>OriginalReadCode</t>
  </si>
  <si>
    <t>CleansedReadCode</t>
  </si>
  <si>
    <t>Term</t>
  </si>
  <si>
    <t>SnomedCTConceptId</t>
  </si>
  <si>
    <t>SnomedCTDescriptionId</t>
  </si>
  <si>
    <t>EmisCodeCategoryId</t>
  </si>
  <si>
    <t>Nyu11</t>
  </si>
  <si>
    <t>Nyu1100</t>
  </si>
  <si>
    <t>[X]Other seropositive rheumatoid arthritis</t>
  </si>
  <si>
    <t>Nyu12</t>
  </si>
  <si>
    <t>Nyu1200</t>
  </si>
  <si>
    <t>[X]Other specified rheumatoid arthritis</t>
  </si>
  <si>
    <t>Nyu10</t>
  </si>
  <si>
    <t>Nyu1000</t>
  </si>
  <si>
    <t>[X]Rheumatoid arthritis+involvement/other organs or systems</t>
  </si>
  <si>
    <t>Nyu1G</t>
  </si>
  <si>
    <t>Nyu1G00</t>
  </si>
  <si>
    <t>[X]Seropositive rheumatoid arthritis, unspecified</t>
  </si>
  <si>
    <t>N0431</t>
  </si>
  <si>
    <t>N043100</t>
  </si>
  <si>
    <t>Acute polyarticular juvenile rheumatoid arthritis</t>
  </si>
  <si>
    <t>5141321000006112</t>
  </si>
  <si>
    <t>^ESCTAD514132</t>
  </si>
  <si>
    <t>Adult onset Still disease</t>
  </si>
  <si>
    <t>N005</t>
  </si>
  <si>
    <t>N005.00</t>
  </si>
  <si>
    <t>Adult onset Still's disease</t>
  </si>
  <si>
    <t>N04y2</t>
  </si>
  <si>
    <t>N04y200</t>
  </si>
  <si>
    <t>Adult-onset Still's disease</t>
  </si>
  <si>
    <t>N100</t>
  </si>
  <si>
    <t>N100.00</t>
  </si>
  <si>
    <t>Ankylosing spondylitis</t>
  </si>
  <si>
    <t>2653431000006115</t>
  </si>
  <si>
    <t>^ESCTAS265343</t>
  </si>
  <si>
    <t>AS - Ankylosing spondylitis</t>
  </si>
  <si>
    <t>14011041000006114</t>
  </si>
  <si>
    <t>^ESCT1401104</t>
  </si>
  <si>
    <t>Bilateral deformity of hands due to rheumatoid arthritis</t>
  </si>
  <si>
    <t>15744441000119101</t>
  </si>
  <si>
    <t>13709511000006115</t>
  </si>
  <si>
    <t>^ESCT1370951</t>
  </si>
  <si>
    <t>Bilateral rheumatoid arthritis of feet</t>
  </si>
  <si>
    <t>15686281000119101</t>
  </si>
  <si>
    <t>13709571000006112</t>
  </si>
  <si>
    <t>^ESCT1370957</t>
  </si>
  <si>
    <t>Bilateral rheumatoid arthritis of hands</t>
  </si>
  <si>
    <t>15687321000119109</t>
  </si>
  <si>
    <t>13709541000006116</t>
  </si>
  <si>
    <t>^ESCT1370954</t>
  </si>
  <si>
    <t>Bilateral rheumatoid arthritis of knees</t>
  </si>
  <si>
    <t>15687201000119107</t>
  </si>
  <si>
    <t>N04y0-1</t>
  </si>
  <si>
    <t>N04y011</t>
  </si>
  <si>
    <t>Caplan's syndrome</t>
  </si>
  <si>
    <t>2530001000006117</t>
  </si>
  <si>
    <t>^ESCTCH253000</t>
  </si>
  <si>
    <t>Chronic polyarticular juvenile rheumatoid arthritis</t>
  </si>
  <si>
    <t>^ESCT1171333</t>
  </si>
  <si>
    <t>Deformity of left foot co-occurrent and due to rheumatoid arthritis</t>
  </si>
  <si>
    <t>1073891000119106</t>
  </si>
  <si>
    <t>^ESCT1171331</t>
  </si>
  <si>
    <t>Deformity of left hand co-occurrent and due to rheumatoid arthritis</t>
  </si>
  <si>
    <t>1073871000119105</t>
  </si>
  <si>
    <t>^ESCT1171332</t>
  </si>
  <si>
    <t>Deformity of right foot co-occurrent and due to rheumatoid arthritis</t>
  </si>
  <si>
    <t>1073881000119108</t>
  </si>
  <si>
    <t>^ESCT1171330</t>
  </si>
  <si>
    <t>Deformity of right hand co-occurrent and due to rheumatoid arthritis</t>
  </si>
  <si>
    <t>1073861000119104</t>
  </si>
  <si>
    <t>2670341000006112</t>
  </si>
  <si>
    <t>^ESCTDI267034</t>
  </si>
  <si>
    <t>Diffuse interstitial rheumatoid disease of lung</t>
  </si>
  <si>
    <t>^ESCT1165709</t>
  </si>
  <si>
    <t>Erosion of joint surface co-occurrent and due to rheumatoid arthritis</t>
  </si>
  <si>
    <t>3428911000006119</t>
  </si>
  <si>
    <t>^ESCTFE342891</t>
  </si>
  <si>
    <t>Felty syndrome</t>
  </si>
  <si>
    <t>N041</t>
  </si>
  <si>
    <t>N041.00</t>
  </si>
  <si>
    <t>Felty's syndrome</t>
  </si>
  <si>
    <t>N04y0-2</t>
  </si>
  <si>
    <t>N04y012</t>
  </si>
  <si>
    <t>Fibrosing alveolitis associated with rheumatoid arthritis</t>
  </si>
  <si>
    <t>N040T</t>
  </si>
  <si>
    <t>N040T00</t>
  </si>
  <si>
    <t>Flare of rheumatoid arthritis</t>
  </si>
  <si>
    <t>14507321000006114</t>
  </si>
  <si>
    <t>^ESCT1450732</t>
  </si>
  <si>
    <t>JIA - juvenile idiopathic arthritis</t>
  </si>
  <si>
    <t>4809291000006111</t>
  </si>
  <si>
    <t>^ESCTJU480929</t>
  </si>
  <si>
    <t>Juvenile arthritis with systemic onset</t>
  </si>
  <si>
    <t>6798411000006117</t>
  </si>
  <si>
    <t>^ESCTJU679841</t>
  </si>
  <si>
    <t>Juvenile idiopathic arthritis</t>
  </si>
  <si>
    <t>4809321000006119</t>
  </si>
  <si>
    <t>^ESCTJU480932</t>
  </si>
  <si>
    <t>Juvenile onset Still's disease</t>
  </si>
  <si>
    <t>N0455</t>
  </si>
  <si>
    <t>N045500</t>
  </si>
  <si>
    <t>Juvenile rheumatoid arthritis</t>
  </si>
  <si>
    <t>14666871000006112</t>
  </si>
  <si>
    <t>^ESCT1466687</t>
  </si>
  <si>
    <t>N043</t>
  </si>
  <si>
    <t>N043.00</t>
  </si>
  <si>
    <t>Juvenile rheumatoid arthritis - Still's disease</t>
  </si>
  <si>
    <t>N043z</t>
  </si>
  <si>
    <t>N043z00</t>
  </si>
  <si>
    <t>Juvenile rheumatoid arthritis NOS</t>
  </si>
  <si>
    <t>6802621000006114</t>
  </si>
  <si>
    <t>^ESCTJU680262</t>
  </si>
  <si>
    <t>Juvenile seropositive arthritis</t>
  </si>
  <si>
    <t>6802591000006112</t>
  </si>
  <si>
    <t>^ESCTJU680259</t>
  </si>
  <si>
    <t>Juvenile seropositive polyarthritis</t>
  </si>
  <si>
    <t>N100-1</t>
  </si>
  <si>
    <t>N100.11</t>
  </si>
  <si>
    <t>Marie - Strumpell spondylitis</t>
  </si>
  <si>
    <t>N0433</t>
  </si>
  <si>
    <t>N043300</t>
  </si>
  <si>
    <t>Monarticular juvenile rheumatoid arthritis</t>
  </si>
  <si>
    <t>4809341000006114</t>
  </si>
  <si>
    <t>^ESCTMO480934</t>
  </si>
  <si>
    <t>Monoarticular juvenile rheumatoid arthritis</t>
  </si>
  <si>
    <t>F3964</t>
  </si>
  <si>
    <t>F396400</t>
  </si>
  <si>
    <t>Myopathy due to rheumatoid arthritis</t>
  </si>
  <si>
    <t>5141691000006118</t>
  </si>
  <si>
    <t>^ESCTNA514169</t>
  </si>
  <si>
    <t>Nailfold rheumatoid vasculitis</t>
  </si>
  <si>
    <t>N0432</t>
  </si>
  <si>
    <t>N043200</t>
  </si>
  <si>
    <t>Pauciarticular juvenile rheumatoid arthritis</t>
  </si>
  <si>
    <t>3709251000006117</t>
  </si>
  <si>
    <t>^ESCTPA370925</t>
  </si>
  <si>
    <t>3709271000006110</t>
  </si>
  <si>
    <t>^ESCTPA370927</t>
  </si>
  <si>
    <t>Pauciarticular onset juvenile arthritis</t>
  </si>
  <si>
    <t>N0456</t>
  </si>
  <si>
    <t>N045600</t>
  </si>
  <si>
    <t>Pauciarticular onset juvenile chronic arthritis</t>
  </si>
  <si>
    <t>F3712</t>
  </si>
  <si>
    <t>F371200</t>
  </si>
  <si>
    <t>Polyneuropathy in rheumatoid arthritis</t>
  </si>
  <si>
    <t>3636571000006116</t>
  </si>
  <si>
    <t>^ESCTPR363657</t>
  </si>
  <si>
    <t>Proliferative arthritis</t>
  </si>
  <si>
    <t>3636541000006112</t>
  </si>
  <si>
    <t>^ESCTRA363654</t>
  </si>
  <si>
    <t>RA - Rheumatoid arthritis</t>
  </si>
  <si>
    <t>3636561000006111</t>
  </si>
  <si>
    <t>^ESCTRH363656</t>
  </si>
  <si>
    <t>RhA - Rheumatoid arthritis</t>
  </si>
  <si>
    <t>N040-92</t>
  </si>
  <si>
    <t>N040.92</t>
  </si>
  <si>
    <t>Rheum. arth. - ankle/foot</t>
  </si>
  <si>
    <t>N040F-99</t>
  </si>
  <si>
    <t>N040F99</t>
  </si>
  <si>
    <t>N040-97</t>
  </si>
  <si>
    <t>N040.97</t>
  </si>
  <si>
    <t>Rheum. arth. - elbow joint</t>
  </si>
  <si>
    <t>N040-95</t>
  </si>
  <si>
    <t>N040.95</t>
  </si>
  <si>
    <t>Rheum. arth. - hand joint</t>
  </si>
  <si>
    <t>N0408-99</t>
  </si>
  <si>
    <t>N040899</t>
  </si>
  <si>
    <t>N040-94</t>
  </si>
  <si>
    <t>N040.94</t>
  </si>
  <si>
    <t>Rheum. arth. - hip joint</t>
  </si>
  <si>
    <t>N040B-99</t>
  </si>
  <si>
    <t>N040B99</t>
  </si>
  <si>
    <t>N040-93</t>
  </si>
  <si>
    <t>N040.93</t>
  </si>
  <si>
    <t>Rheum. arth. - knee joint</t>
  </si>
  <si>
    <t>N040D-99</t>
  </si>
  <si>
    <t>N040D99</t>
  </si>
  <si>
    <t>N040-99</t>
  </si>
  <si>
    <t>N040.99</t>
  </si>
  <si>
    <t>Rheum. arth. - multiple joint</t>
  </si>
  <si>
    <t>N040-91</t>
  </si>
  <si>
    <t>N040.91</t>
  </si>
  <si>
    <t>Rheum. arth. - other joint</t>
  </si>
  <si>
    <t>N040-98</t>
  </si>
  <si>
    <t>N040.98</t>
  </si>
  <si>
    <t>Rheum. arth. - shoulder joint</t>
  </si>
  <si>
    <t>N040-96</t>
  </si>
  <si>
    <t>N040.96</t>
  </si>
  <si>
    <t>Rheum. arth. - wrist joint</t>
  </si>
  <si>
    <t>N0407-99</t>
  </si>
  <si>
    <t>N040799</t>
  </si>
  <si>
    <t>3636531000006119</t>
  </si>
  <si>
    <t>^ESCTRH363653</t>
  </si>
  <si>
    <t>Rheumatic gout</t>
  </si>
  <si>
    <t>N040</t>
  </si>
  <si>
    <t>N040.00</t>
  </si>
  <si>
    <t>Rheumatoid arthritis</t>
  </si>
  <si>
    <t>5721481000006110</t>
  </si>
  <si>
    <t>^ESCTRH572148</t>
  </si>
  <si>
    <t>Rheumatoid arthritis - ankle and/or foot</t>
  </si>
  <si>
    <t>5721451000006119</t>
  </si>
  <si>
    <t>^ESCTRH572145</t>
  </si>
  <si>
    <t>Rheumatoid arthritis - hand joint</t>
  </si>
  <si>
    <t>N040S</t>
  </si>
  <si>
    <t>N040S00</t>
  </si>
  <si>
    <t>Rheumatoid arthritis - multiple joint</t>
  </si>
  <si>
    <t>N04</t>
  </si>
  <si>
    <t>N04..00</t>
  </si>
  <si>
    <t>Rheumatoid arthritis and other inflammatory polyarthropathy</t>
  </si>
  <si>
    <t>8045661000006112</t>
  </si>
  <si>
    <t>^ESCTRH804566</t>
  </si>
  <si>
    <t>Rheumatoid arthritis in remission</t>
  </si>
  <si>
    <t>N040-90</t>
  </si>
  <si>
    <t>N040.90</t>
  </si>
  <si>
    <t>Rheumatoid arthritis NOS</t>
  </si>
  <si>
    <t>N040K</t>
  </si>
  <si>
    <t>N040K00</t>
  </si>
  <si>
    <t>Rheumatoid arthritis of 1st metatarsophalangeal joint</t>
  </si>
  <si>
    <t>N0404</t>
  </si>
  <si>
    <t>N040400</t>
  </si>
  <si>
    <t>Rheumatoid arthritis of acromioclavicular joint</t>
  </si>
  <si>
    <t>N040F</t>
  </si>
  <si>
    <t>N040F00</t>
  </si>
  <si>
    <t>Rheumatoid arthritis of ankle</t>
  </si>
  <si>
    <t>13709561000006117</t>
  </si>
  <si>
    <t>^ESCT1370956</t>
  </si>
  <si>
    <t>Rheumatoid arthritis of bilateral knees</t>
  </si>
  <si>
    <t>13709581000006110</t>
  </si>
  <si>
    <t>^ESCT1370958</t>
  </si>
  <si>
    <t>Rheumatoid arthritis of both hands</t>
  </si>
  <si>
    <t>13709551000006119</t>
  </si>
  <si>
    <t>^ESCT1370955</t>
  </si>
  <si>
    <t>Rheumatoid arthritis of both knees</t>
  </si>
  <si>
    <t>N0400</t>
  </si>
  <si>
    <t>N040000</t>
  </si>
  <si>
    <t>Rheumatoid arthritis of cervical spine</t>
  </si>
  <si>
    <t>N040A</t>
  </si>
  <si>
    <t>N040A00</t>
  </si>
  <si>
    <t>Rheumatoid arthritis of distal interphalangeal joint of finger</t>
  </si>
  <si>
    <t>4809101000006114</t>
  </si>
  <si>
    <t>^ESCTRH480910</t>
  </si>
  <si>
    <t>Rheumatoid arthritis of distal radioulnar joint</t>
  </si>
  <si>
    <t>N0406</t>
  </si>
  <si>
    <t>N040600</t>
  </si>
  <si>
    <t>Rheumatoid arthritis of distal radio-ulnar joint</t>
  </si>
  <si>
    <t>N0405</t>
  </si>
  <si>
    <t>N040500</t>
  </si>
  <si>
    <t>Rheumatoid arthritis of elbow</t>
  </si>
  <si>
    <t>4809221000006114</t>
  </si>
  <si>
    <t>^ESCTRH480922</t>
  </si>
  <si>
    <t>Rheumatoid arthritis of first metatarsophalangeal joint</t>
  </si>
  <si>
    <t>7099641000006113</t>
  </si>
  <si>
    <t>^ESCTRH709964</t>
  </si>
  <si>
    <t>Rheumatoid arthritis of foot</t>
  </si>
  <si>
    <t>5721471000006112</t>
  </si>
  <si>
    <t>^ESCTRH572147</t>
  </si>
  <si>
    <t>Rheumatoid arthritis of hand</t>
  </si>
  <si>
    <t>N040B</t>
  </si>
  <si>
    <t>N040B00</t>
  </si>
  <si>
    <t>Rheumatoid arthritis of hip</t>
  </si>
  <si>
    <t>N040M</t>
  </si>
  <si>
    <t>N040M00</t>
  </si>
  <si>
    <t>Rheumatoid arthritis of interphalangeal joint of toe</t>
  </si>
  <si>
    <t>13605001000006117</t>
  </si>
  <si>
    <t>^ESCT1360500</t>
  </si>
  <si>
    <t>Rheumatoid arthritis of joint of spine</t>
  </si>
  <si>
    <t>N040D</t>
  </si>
  <si>
    <t>N040D00</t>
  </si>
  <si>
    <t>Rheumatoid arthritis of knee</t>
  </si>
  <si>
    <t>13687681000006113</t>
  </si>
  <si>
    <t>^ESCT1368768</t>
  </si>
  <si>
    <t>Rheumatoid arthritis of left foot</t>
  </si>
  <si>
    <t>1073701000119107</t>
  </si>
  <si>
    <t>^ESCT1171326</t>
  </si>
  <si>
    <t>Rheumatoid arthritis of left hand</t>
  </si>
  <si>
    <t>1073711000119105</t>
  </si>
  <si>
    <t>^ESCT1171327</t>
  </si>
  <si>
    <t>Rheumatoid arthritis of left hip</t>
  </si>
  <si>
    <t>1073721000119103</t>
  </si>
  <si>
    <t>8447181000006111</t>
  </si>
  <si>
    <t>^ESCTRH844718</t>
  </si>
  <si>
    <t>Rheumatoid arthritis of left knee</t>
  </si>
  <si>
    <t>1073731000119100</t>
  </si>
  <si>
    <t>12114051000006110</t>
  </si>
  <si>
    <t>^ESCT1211405</t>
  </si>
  <si>
    <t>Rheumatoid arthritis of left shoulder</t>
  </si>
  <si>
    <t>1073741000119109</t>
  </si>
  <si>
    <t>13687691000006111</t>
  </si>
  <si>
    <t>^ESCT1368769</t>
  </si>
  <si>
    <t>Rheumatoid arthritis of left wrist</t>
  </si>
  <si>
    <t>1073751000119106</t>
  </si>
  <si>
    <t>N040L</t>
  </si>
  <si>
    <t>N040L00</t>
  </si>
  <si>
    <t>Rheumatoid arthritis of lesser metatarsophalangeal joint</t>
  </si>
  <si>
    <t>N0408</t>
  </si>
  <si>
    <t>N040800</t>
  </si>
  <si>
    <t>Rheumatoid arthritis of metacarpophalangeal joint</t>
  </si>
  <si>
    <t>5721431000006114</t>
  </si>
  <si>
    <t>^ESCTRH572143</t>
  </si>
  <si>
    <t>Rheumatoid arthritis of multiple joints</t>
  </si>
  <si>
    <t>N040J</t>
  </si>
  <si>
    <t>N040J00</t>
  </si>
  <si>
    <t>Rheumatoid arthritis of other tarsal joint</t>
  </si>
  <si>
    <t>N0409</t>
  </si>
  <si>
    <t>N040900</t>
  </si>
  <si>
    <t>Rheumatoid arthritis of proximal interphalangeal joint of finger</t>
  </si>
  <si>
    <t>13687701000006111</t>
  </si>
  <si>
    <t>^ESCT1368770</t>
  </si>
  <si>
    <t>Rheumatoid arthritis of right foot</t>
  </si>
  <si>
    <t>1073781000119104</t>
  </si>
  <si>
    <t>^ESCT1171328</t>
  </si>
  <si>
    <t>Rheumatoid arthritis of right hand</t>
  </si>
  <si>
    <t>1073791000119101</t>
  </si>
  <si>
    <t>^ESCT1171329</t>
  </si>
  <si>
    <t>Rheumatoid arthritis of right hip</t>
  </si>
  <si>
    <t>1073801000119100</t>
  </si>
  <si>
    <t>8447281000006115</t>
  </si>
  <si>
    <t>^ESCTRH844728</t>
  </si>
  <si>
    <t>Rheumatoid arthritis of right knee</t>
  </si>
  <si>
    <t>1073811000119102</t>
  </si>
  <si>
    <t>12114061000006112</t>
  </si>
  <si>
    <t>^ESCT1211406</t>
  </si>
  <si>
    <t>Rheumatoid arthritis of right shoulder</t>
  </si>
  <si>
    <t>1073821000119109</t>
  </si>
  <si>
    <t>13687711000006114</t>
  </si>
  <si>
    <t>^ESCT1368771</t>
  </si>
  <si>
    <t>Rheumatoid arthritis of right wrist</t>
  </si>
  <si>
    <t>1073831000119107</t>
  </si>
  <si>
    <t>N040C</t>
  </si>
  <si>
    <t>N040C00</t>
  </si>
  <si>
    <t>Rheumatoid arthritis of sacroiliac joint</t>
  </si>
  <si>
    <t>N0402</t>
  </si>
  <si>
    <t>N040200</t>
  </si>
  <si>
    <t>Rheumatoid arthritis of shoulder</t>
  </si>
  <si>
    <t>N0401</t>
  </si>
  <si>
    <t>N040100</t>
  </si>
  <si>
    <t>Rheumatoid arthritis of spine</t>
  </si>
  <si>
    <t>N0403</t>
  </si>
  <si>
    <t>N040300</t>
  </si>
  <si>
    <t>Rheumatoid arthritis of sternoclavicular joint</t>
  </si>
  <si>
    <t>N040G</t>
  </si>
  <si>
    <t>N040G00</t>
  </si>
  <si>
    <t>Rheumatoid arthritis of subtalar joint</t>
  </si>
  <si>
    <t>N040H</t>
  </si>
  <si>
    <t>N040H00</t>
  </si>
  <si>
    <t>Rheumatoid arthritis of talonavicular joint</t>
  </si>
  <si>
    <t>7078501000006113</t>
  </si>
  <si>
    <t>^ESCTRH707850</t>
  </si>
  <si>
    <t>Rheumatoid arthritis of temporomandibular joint</t>
  </si>
  <si>
    <t>4809181000006117</t>
  </si>
  <si>
    <t>^ESCTRH480918</t>
  </si>
  <si>
    <t>Rheumatoid arthritis of tibiofibular joint</t>
  </si>
  <si>
    <t>N040E</t>
  </si>
  <si>
    <t>N040E00</t>
  </si>
  <si>
    <t>Rheumatoid arthritis of tibio-fibular joint</t>
  </si>
  <si>
    <t>N0407</t>
  </si>
  <si>
    <t>N040700</t>
  </si>
  <si>
    <t>Rheumatoid arthritis of wrist</t>
  </si>
  <si>
    <t>14512891000006117</t>
  </si>
  <si>
    <t>^ESCT1451289</t>
  </si>
  <si>
    <t>Rheumatoid arthritis with erosion of joint</t>
  </si>
  <si>
    <t>N042</t>
  </si>
  <si>
    <t>N042.00</t>
  </si>
  <si>
    <t>Rheumatoid arthritis with organ / system involvement</t>
  </si>
  <si>
    <t>^ESCT1165711</t>
  </si>
  <si>
    <t>Rheumatoid arthritis without erosion</t>
  </si>
  <si>
    <t>N042z</t>
  </si>
  <si>
    <t>N042z00</t>
  </si>
  <si>
    <t>Rheumatoid arthropathy + visceral/systemic involvement NOS</t>
  </si>
  <si>
    <t>3636551000006114</t>
  </si>
  <si>
    <t>^ESCTRH363655</t>
  </si>
  <si>
    <t>Rheumatoid disease</t>
  </si>
  <si>
    <t>H570</t>
  </si>
  <si>
    <t>H570.00</t>
  </si>
  <si>
    <t>Rheumatoid lung</t>
  </si>
  <si>
    <t>N04y0</t>
  </si>
  <si>
    <t>N04y000</t>
  </si>
  <si>
    <t>N0421</t>
  </si>
  <si>
    <t>N042100</t>
  </si>
  <si>
    <t>Rheumatoid lung disease</t>
  </si>
  <si>
    <t>8102191000006119</t>
  </si>
  <si>
    <t>^ESCTRH810219</t>
  </si>
  <si>
    <t>Rheumatoid lung disease with rheumatoid arthritis</t>
  </si>
  <si>
    <t>N040R</t>
  </si>
  <si>
    <t>N040R00</t>
  </si>
  <si>
    <t>Rheumatoid nodule</t>
  </si>
  <si>
    <t>N0422</t>
  </si>
  <si>
    <t>N042200</t>
  </si>
  <si>
    <t>14493941000006117</t>
  </si>
  <si>
    <t>^ESCT1449394</t>
  </si>
  <si>
    <t>Rheumatoid pericarditis</t>
  </si>
  <si>
    <t>N040N</t>
  </si>
  <si>
    <t>N040N00</t>
  </si>
  <si>
    <t>Rheumatoid vasculitis</t>
  </si>
  <si>
    <t>N04y1-1</t>
  </si>
  <si>
    <t>N04y111</t>
  </si>
  <si>
    <t>Sero negative polyarthritis</t>
  </si>
  <si>
    <t>N04y1</t>
  </si>
  <si>
    <t>N04y100</t>
  </si>
  <si>
    <t>Seronegative arthritis</t>
  </si>
  <si>
    <t>N040P</t>
  </si>
  <si>
    <t>N040P00</t>
  </si>
  <si>
    <t>Seronegative rheumatoid arthritis</t>
  </si>
  <si>
    <t>14514751000006114</t>
  </si>
  <si>
    <t>^ESCT1451475</t>
  </si>
  <si>
    <t>Seronegative rheumatoid arthritis of multiple joints</t>
  </si>
  <si>
    <t>13677531000006119</t>
  </si>
  <si>
    <t>^ESCT1367753</t>
  </si>
  <si>
    <t>Seronegative rheumatoid arthritis of multiple sites</t>
  </si>
  <si>
    <t>N047</t>
  </si>
  <si>
    <t>N047.00</t>
  </si>
  <si>
    <t>Seropositive erosive rheumatoid arthritis</t>
  </si>
  <si>
    <t>N04X</t>
  </si>
  <si>
    <t>N04X.00</t>
  </si>
  <si>
    <t>Seropositive rheumatoid arthritis</t>
  </si>
  <si>
    <t>9357441000006116</t>
  </si>
  <si>
    <t>^ESCTSE935744</t>
  </si>
  <si>
    <t>Seropositive rheumatoid arthritis of multiple joints</t>
  </si>
  <si>
    <t>11055151000119108</t>
  </si>
  <si>
    <t>2653381000006111</t>
  </si>
  <si>
    <t>^ESCTSP265338</t>
  </si>
  <si>
    <t>Spondylosis deformans</t>
  </si>
  <si>
    <t>N043-99</t>
  </si>
  <si>
    <t>N043.99</t>
  </si>
  <si>
    <t>Still's disease - juvenile R.A</t>
  </si>
  <si>
    <t>3042571000006112</t>
  </si>
  <si>
    <t>^ESCTSU304257</t>
  </si>
  <si>
    <t>Subcutaneous rheumatoid nodule</t>
  </si>
  <si>
    <t>4809311000006110</t>
  </si>
  <si>
    <t>^ESCTSY480931</t>
  </si>
  <si>
    <t>Systemic juvenile idiopathic arthritis</t>
  </si>
  <si>
    <t>4809281000006113</t>
  </si>
  <si>
    <t>^ESCTSY480928</t>
  </si>
  <si>
    <t>Systemic onset juvenile chronic arthritis</t>
  </si>
  <si>
    <t>3901751000006115</t>
  </si>
  <si>
    <t>^ESCTUV390175</t>
  </si>
  <si>
    <t>Uveitis-rheumatoid arthritis syndrome</t>
  </si>
  <si>
    <t>Consider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</si>
</sst>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49BE-DC63-48EF-9FC4-86DB839460D3}">
  <dimension ref="A1:J144"/>
  <sheetViews>
    <sheetView tabSelected="1" topLeftCell="A72" workbookViewId="0">
      <selection activeCell="O99" sqref="O99"/>
    </sheetView>
  </sheetViews>
  <sheetFormatPr defaultRowHeight="14.5" x14ac:dyDescent="0.35"/>
  <cols>
    <col min="5" max="5" width="5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439</v>
      </c>
    </row>
    <row r="2" spans="1:10" x14ac:dyDescent="0.35">
      <c r="A2">
        <v>424981000006114</v>
      </c>
      <c r="B2">
        <v>26</v>
      </c>
      <c r="C2" t="s">
        <v>14</v>
      </c>
      <c r="D2" t="s">
        <v>15</v>
      </c>
      <c r="E2" t="s">
        <v>16</v>
      </c>
      <c r="F2">
        <v>239793008</v>
      </c>
      <c r="G2">
        <v>359293019</v>
      </c>
      <c r="H2">
        <v>32</v>
      </c>
      <c r="I2" t="e">
        <v>#N/A</v>
      </c>
      <c r="J2">
        <v>1</v>
      </c>
    </row>
    <row r="3" spans="1:10" x14ac:dyDescent="0.35">
      <c r="A3">
        <v>125937016</v>
      </c>
      <c r="B3">
        <v>4951</v>
      </c>
      <c r="C3" t="s">
        <v>20</v>
      </c>
      <c r="D3" t="s">
        <v>21</v>
      </c>
      <c r="E3" t="s">
        <v>22</v>
      </c>
      <c r="F3">
        <v>75822003</v>
      </c>
      <c r="G3">
        <v>125937016</v>
      </c>
      <c r="H3">
        <v>32</v>
      </c>
      <c r="I3" t="e">
        <v>#N/A</v>
      </c>
    </row>
    <row r="4" spans="1:10" x14ac:dyDescent="0.35">
      <c r="A4" s="1" t="s">
        <v>23</v>
      </c>
      <c r="B4">
        <v>15</v>
      </c>
      <c r="C4" t="s">
        <v>24</v>
      </c>
      <c r="E4" t="s">
        <v>25</v>
      </c>
      <c r="F4">
        <v>239920006</v>
      </c>
      <c r="G4">
        <v>2839647016</v>
      </c>
      <c r="H4">
        <v>32</v>
      </c>
      <c r="I4" t="e">
        <v>#N/A</v>
      </c>
      <c r="J4">
        <v>1</v>
      </c>
    </row>
    <row r="5" spans="1:10" x14ac:dyDescent="0.35">
      <c r="A5">
        <v>463281000006113</v>
      </c>
      <c r="B5">
        <v>10488</v>
      </c>
      <c r="C5" t="s">
        <v>26</v>
      </c>
      <c r="D5" t="s">
        <v>27</v>
      </c>
      <c r="E5" t="s">
        <v>28</v>
      </c>
      <c r="F5">
        <v>239920006</v>
      </c>
      <c r="G5">
        <v>359482019</v>
      </c>
      <c r="H5">
        <v>32</v>
      </c>
      <c r="I5" t="e">
        <v>#N/A</v>
      </c>
      <c r="J5">
        <v>1</v>
      </c>
    </row>
    <row r="6" spans="1:10" x14ac:dyDescent="0.35">
      <c r="A6">
        <v>463301000006112</v>
      </c>
      <c r="B6">
        <v>3301</v>
      </c>
      <c r="C6" t="s">
        <v>29</v>
      </c>
      <c r="D6" t="s">
        <v>30</v>
      </c>
      <c r="E6" t="s">
        <v>31</v>
      </c>
      <c r="F6">
        <v>239920006</v>
      </c>
      <c r="G6">
        <v>359482019</v>
      </c>
      <c r="H6">
        <v>32</v>
      </c>
      <c r="I6" t="e">
        <v>#N/A</v>
      </c>
      <c r="J6">
        <v>1</v>
      </c>
    </row>
    <row r="7" spans="1:10" x14ac:dyDescent="0.35">
      <c r="A7">
        <v>16833013</v>
      </c>
      <c r="B7">
        <v>374249</v>
      </c>
      <c r="C7" t="s">
        <v>32</v>
      </c>
      <c r="D7" t="s">
        <v>33</v>
      </c>
      <c r="E7" t="s">
        <v>34</v>
      </c>
      <c r="F7">
        <v>9631008</v>
      </c>
      <c r="G7">
        <v>16833013</v>
      </c>
      <c r="H7">
        <v>32</v>
      </c>
      <c r="I7" t="e">
        <v>#N/A</v>
      </c>
    </row>
    <row r="8" spans="1:10" x14ac:dyDescent="0.35">
      <c r="A8" s="1" t="s">
        <v>35</v>
      </c>
      <c r="B8">
        <v>8</v>
      </c>
      <c r="C8" t="s">
        <v>36</v>
      </c>
      <c r="E8" t="s">
        <v>37</v>
      </c>
      <c r="F8">
        <v>9631008</v>
      </c>
      <c r="G8">
        <v>1235979011</v>
      </c>
      <c r="H8">
        <v>32</v>
      </c>
      <c r="I8" t="e">
        <v>#N/A</v>
      </c>
    </row>
    <row r="9" spans="1:10" x14ac:dyDescent="0.35">
      <c r="A9" s="1" t="s">
        <v>38</v>
      </c>
      <c r="B9">
        <v>79</v>
      </c>
      <c r="C9" t="s">
        <v>39</v>
      </c>
      <c r="E9" t="s">
        <v>40</v>
      </c>
      <c r="F9" s="1" t="s">
        <v>41</v>
      </c>
      <c r="G9">
        <v>3778668016</v>
      </c>
      <c r="H9">
        <v>32</v>
      </c>
      <c r="I9" t="e">
        <v>#N/A</v>
      </c>
      <c r="J9">
        <v>1</v>
      </c>
    </row>
    <row r="10" spans="1:10" x14ac:dyDescent="0.35">
      <c r="A10" s="1" t="s">
        <v>42</v>
      </c>
      <c r="B10">
        <v>38</v>
      </c>
      <c r="C10" t="s">
        <v>43</v>
      </c>
      <c r="E10" t="s">
        <v>44</v>
      </c>
      <c r="F10" s="1" t="s">
        <v>45</v>
      </c>
      <c r="G10">
        <v>3773909010</v>
      </c>
      <c r="H10">
        <v>32</v>
      </c>
      <c r="I10" t="e">
        <v>#N/A</v>
      </c>
      <c r="J10">
        <v>1</v>
      </c>
    </row>
    <row r="11" spans="1:10" x14ac:dyDescent="0.35">
      <c r="A11" s="1" t="s">
        <v>46</v>
      </c>
      <c r="B11">
        <v>56</v>
      </c>
      <c r="C11" t="s">
        <v>47</v>
      </c>
      <c r="E11" t="s">
        <v>48</v>
      </c>
      <c r="F11" s="1" t="s">
        <v>49</v>
      </c>
      <c r="G11">
        <v>3773912013</v>
      </c>
      <c r="H11">
        <v>32</v>
      </c>
      <c r="I11" t="e">
        <v>#N/A</v>
      </c>
      <c r="J11">
        <v>1</v>
      </c>
    </row>
    <row r="12" spans="1:10" x14ac:dyDescent="0.35">
      <c r="A12" s="1" t="s">
        <v>50</v>
      </c>
      <c r="B12">
        <v>106</v>
      </c>
      <c r="C12" t="s">
        <v>51</v>
      </c>
      <c r="E12" t="s">
        <v>52</v>
      </c>
      <c r="F12" s="1" t="s">
        <v>53</v>
      </c>
      <c r="G12">
        <v>3773916011</v>
      </c>
      <c r="H12">
        <v>32</v>
      </c>
      <c r="I12" t="e">
        <v>#N/A</v>
      </c>
      <c r="J12">
        <v>1</v>
      </c>
    </row>
    <row r="13" spans="1:10" x14ac:dyDescent="0.35">
      <c r="A13" s="1" t="s">
        <v>57</v>
      </c>
      <c r="B13">
        <v>305</v>
      </c>
      <c r="C13" t="s">
        <v>58</v>
      </c>
      <c r="E13" t="s">
        <v>59</v>
      </c>
      <c r="F13">
        <v>1961000</v>
      </c>
      <c r="G13">
        <v>4385018</v>
      </c>
      <c r="H13">
        <v>32</v>
      </c>
      <c r="I13" t="e">
        <v>#N/A</v>
      </c>
    </row>
    <row r="14" spans="1:10" x14ac:dyDescent="0.35">
      <c r="A14">
        <v>3527061011</v>
      </c>
      <c r="B14">
        <v>8</v>
      </c>
      <c r="C14" t="s">
        <v>60</v>
      </c>
      <c r="E14" t="s">
        <v>61</v>
      </c>
      <c r="F14" s="1" t="s">
        <v>62</v>
      </c>
      <c r="G14">
        <v>3527061011</v>
      </c>
      <c r="H14">
        <v>32</v>
      </c>
      <c r="I14" t="e">
        <v>#N/A</v>
      </c>
      <c r="J14">
        <v>1</v>
      </c>
    </row>
    <row r="15" spans="1:10" x14ac:dyDescent="0.35">
      <c r="A15">
        <v>3527712017</v>
      </c>
      <c r="B15">
        <v>8</v>
      </c>
      <c r="C15" t="s">
        <v>63</v>
      </c>
      <c r="E15" t="s">
        <v>64</v>
      </c>
      <c r="F15" s="1" t="s">
        <v>65</v>
      </c>
      <c r="G15">
        <v>3527712017</v>
      </c>
      <c r="H15">
        <v>32</v>
      </c>
      <c r="I15" t="e">
        <v>#N/A</v>
      </c>
      <c r="J15">
        <v>1</v>
      </c>
    </row>
    <row r="16" spans="1:10" x14ac:dyDescent="0.35">
      <c r="A16">
        <v>3527731011</v>
      </c>
      <c r="B16">
        <v>10</v>
      </c>
      <c r="C16" t="s">
        <v>66</v>
      </c>
      <c r="E16" t="s">
        <v>67</v>
      </c>
      <c r="F16" s="1" t="s">
        <v>68</v>
      </c>
      <c r="G16">
        <v>3527731011</v>
      </c>
      <c r="H16">
        <v>32</v>
      </c>
      <c r="I16" t="e">
        <v>#N/A</v>
      </c>
      <c r="J16">
        <v>1</v>
      </c>
    </row>
    <row r="17" spans="1:10" x14ac:dyDescent="0.35">
      <c r="A17">
        <v>3527737010</v>
      </c>
      <c r="B17">
        <v>8</v>
      </c>
      <c r="C17" t="s">
        <v>69</v>
      </c>
      <c r="E17" t="s">
        <v>70</v>
      </c>
      <c r="F17" s="1" t="s">
        <v>71</v>
      </c>
      <c r="G17">
        <v>3527737010</v>
      </c>
      <c r="H17">
        <v>32</v>
      </c>
      <c r="I17" t="e">
        <v>#N/A</v>
      </c>
      <c r="J17">
        <v>1</v>
      </c>
    </row>
    <row r="18" spans="1:10" x14ac:dyDescent="0.35">
      <c r="A18" s="1" t="s">
        <v>72</v>
      </c>
      <c r="B18">
        <v>103</v>
      </c>
      <c r="C18" t="s">
        <v>73</v>
      </c>
      <c r="E18" t="s">
        <v>74</v>
      </c>
      <c r="F18">
        <v>10713006</v>
      </c>
      <c r="G18">
        <v>18610015</v>
      </c>
      <c r="H18">
        <v>32</v>
      </c>
      <c r="I18" t="e">
        <v>#N/A</v>
      </c>
      <c r="J18">
        <v>1</v>
      </c>
    </row>
    <row r="19" spans="1:10" x14ac:dyDescent="0.35">
      <c r="A19">
        <v>3514955016</v>
      </c>
      <c r="B19">
        <v>7</v>
      </c>
      <c r="C19" t="s">
        <v>75</v>
      </c>
      <c r="E19" t="s">
        <v>76</v>
      </c>
      <c r="F19">
        <v>735599007</v>
      </c>
      <c r="G19">
        <v>3514955016</v>
      </c>
      <c r="H19">
        <v>32</v>
      </c>
      <c r="I19" t="e">
        <v>#N/A</v>
      </c>
      <c r="J19">
        <v>1</v>
      </c>
    </row>
    <row r="20" spans="1:10" x14ac:dyDescent="0.35">
      <c r="A20" s="1" t="s">
        <v>77</v>
      </c>
      <c r="B20">
        <v>1</v>
      </c>
      <c r="C20" t="s">
        <v>78</v>
      </c>
      <c r="E20" t="s">
        <v>79</v>
      </c>
      <c r="F20">
        <v>57160007</v>
      </c>
      <c r="G20">
        <v>2838764018</v>
      </c>
      <c r="H20">
        <v>32</v>
      </c>
      <c r="I20" t="e">
        <v>#N/A</v>
      </c>
      <c r="J20">
        <v>1</v>
      </c>
    </row>
    <row r="21" spans="1:10" x14ac:dyDescent="0.35">
      <c r="A21" s="1" t="s">
        <v>89</v>
      </c>
      <c r="B21">
        <v>123</v>
      </c>
      <c r="C21" t="s">
        <v>90</v>
      </c>
      <c r="E21" t="s">
        <v>91</v>
      </c>
      <c r="F21">
        <v>410502007</v>
      </c>
      <c r="G21">
        <v>4542794014</v>
      </c>
      <c r="H21">
        <v>32</v>
      </c>
      <c r="I21" t="e">
        <v>#N/A</v>
      </c>
    </row>
    <row r="22" spans="1:10" x14ac:dyDescent="0.35">
      <c r="A22" s="1" t="s">
        <v>92</v>
      </c>
      <c r="B22">
        <v>1</v>
      </c>
      <c r="C22" t="s">
        <v>93</v>
      </c>
      <c r="E22" t="s">
        <v>94</v>
      </c>
      <c r="F22">
        <v>201796004</v>
      </c>
      <c r="G22">
        <v>309822015</v>
      </c>
      <c r="H22">
        <v>32</v>
      </c>
      <c r="I22" t="e">
        <v>#N/A</v>
      </c>
    </row>
    <row r="23" spans="1:10" x14ac:dyDescent="0.35">
      <c r="A23" s="1" t="s">
        <v>95</v>
      </c>
      <c r="B23">
        <v>5091</v>
      </c>
      <c r="C23" t="s">
        <v>96</v>
      </c>
      <c r="E23" t="s">
        <v>97</v>
      </c>
      <c r="F23">
        <v>410502007</v>
      </c>
      <c r="G23">
        <v>2472160010</v>
      </c>
      <c r="H23">
        <v>32</v>
      </c>
      <c r="I23" t="e">
        <v>#N/A</v>
      </c>
    </row>
    <row r="24" spans="1:10" x14ac:dyDescent="0.35">
      <c r="A24" s="1" t="s">
        <v>98</v>
      </c>
      <c r="B24">
        <v>1</v>
      </c>
      <c r="C24" t="s">
        <v>99</v>
      </c>
      <c r="E24" t="s">
        <v>100</v>
      </c>
      <c r="F24">
        <v>201796004</v>
      </c>
      <c r="G24">
        <v>3010336011</v>
      </c>
      <c r="H24">
        <v>32</v>
      </c>
      <c r="I24" t="e">
        <v>#N/A</v>
      </c>
    </row>
    <row r="25" spans="1:10" x14ac:dyDescent="0.35">
      <c r="A25">
        <v>2472447010</v>
      </c>
      <c r="B25">
        <v>9571</v>
      </c>
      <c r="C25" t="s">
        <v>101</v>
      </c>
      <c r="D25" t="s">
        <v>102</v>
      </c>
      <c r="E25" t="s">
        <v>103</v>
      </c>
      <c r="F25">
        <v>410795001</v>
      </c>
      <c r="G25">
        <v>2472447010</v>
      </c>
      <c r="H25">
        <v>32</v>
      </c>
      <c r="I25" t="e">
        <v>#N/A</v>
      </c>
    </row>
    <row r="26" spans="1:10" x14ac:dyDescent="0.35">
      <c r="A26" s="1" t="s">
        <v>104</v>
      </c>
      <c r="B26">
        <v>77</v>
      </c>
      <c r="C26" t="s">
        <v>105</v>
      </c>
      <c r="E26" t="s">
        <v>103</v>
      </c>
      <c r="F26">
        <v>410502007</v>
      </c>
      <c r="G26">
        <v>2478005010</v>
      </c>
      <c r="H26">
        <v>32</v>
      </c>
      <c r="I26" t="e">
        <v>#N/A</v>
      </c>
    </row>
    <row r="27" spans="1:10" x14ac:dyDescent="0.35">
      <c r="A27">
        <v>755441000006119</v>
      </c>
      <c r="B27">
        <v>31065</v>
      </c>
      <c r="C27" t="s">
        <v>106</v>
      </c>
      <c r="D27" t="s">
        <v>107</v>
      </c>
      <c r="E27" t="s">
        <v>108</v>
      </c>
      <c r="F27">
        <v>410795001</v>
      </c>
      <c r="G27">
        <v>2472447010</v>
      </c>
      <c r="H27">
        <v>32</v>
      </c>
      <c r="I27" t="e">
        <v>#N/A</v>
      </c>
    </row>
    <row r="28" spans="1:10" x14ac:dyDescent="0.35">
      <c r="A28">
        <v>309828016</v>
      </c>
      <c r="B28">
        <v>8954</v>
      </c>
      <c r="C28" t="s">
        <v>109</v>
      </c>
      <c r="D28" t="s">
        <v>110</v>
      </c>
      <c r="E28" t="s">
        <v>111</v>
      </c>
      <c r="F28">
        <v>410795001</v>
      </c>
      <c r="G28">
        <v>2472447010</v>
      </c>
      <c r="H28">
        <v>32</v>
      </c>
      <c r="I28" t="e">
        <v>#N/A</v>
      </c>
    </row>
    <row r="29" spans="1:10" x14ac:dyDescent="0.35">
      <c r="A29" s="1" t="s">
        <v>112</v>
      </c>
      <c r="B29">
        <v>3</v>
      </c>
      <c r="C29" t="s">
        <v>113</v>
      </c>
      <c r="E29" t="s">
        <v>114</v>
      </c>
      <c r="F29">
        <v>410796000</v>
      </c>
      <c r="G29">
        <v>2478121015</v>
      </c>
      <c r="H29">
        <v>32</v>
      </c>
      <c r="I29" t="e">
        <v>#N/A</v>
      </c>
    </row>
    <row r="30" spans="1:10" x14ac:dyDescent="0.35">
      <c r="A30" s="1" t="s">
        <v>115</v>
      </c>
      <c r="B30">
        <v>546</v>
      </c>
      <c r="C30" t="s">
        <v>116</v>
      </c>
      <c r="E30" t="s">
        <v>117</v>
      </c>
      <c r="F30">
        <v>410796000</v>
      </c>
      <c r="G30">
        <v>2472448017</v>
      </c>
      <c r="H30">
        <v>32</v>
      </c>
      <c r="I30" t="e">
        <v>#N/A</v>
      </c>
    </row>
    <row r="31" spans="1:10" x14ac:dyDescent="0.35">
      <c r="A31">
        <v>718001000006112</v>
      </c>
      <c r="B31">
        <v>24</v>
      </c>
      <c r="C31" t="s">
        <v>118</v>
      </c>
      <c r="D31" t="s">
        <v>119</v>
      </c>
      <c r="E31" t="s">
        <v>120</v>
      </c>
      <c r="F31">
        <v>9631008</v>
      </c>
      <c r="G31">
        <v>1235977013</v>
      </c>
      <c r="H31">
        <v>32</v>
      </c>
      <c r="I31" t="e">
        <v>#N/A</v>
      </c>
    </row>
    <row r="32" spans="1:10" x14ac:dyDescent="0.35">
      <c r="A32">
        <v>309827014</v>
      </c>
      <c r="B32">
        <v>1134</v>
      </c>
      <c r="C32" t="s">
        <v>121</v>
      </c>
      <c r="D32" t="s">
        <v>122</v>
      </c>
      <c r="E32" t="s">
        <v>123</v>
      </c>
      <c r="F32">
        <v>201799006</v>
      </c>
      <c r="G32">
        <v>309827014</v>
      </c>
      <c r="H32">
        <v>32</v>
      </c>
      <c r="I32" t="e">
        <v>#N/A</v>
      </c>
    </row>
    <row r="33" spans="1:10" x14ac:dyDescent="0.35">
      <c r="A33" s="1" t="s">
        <v>124</v>
      </c>
      <c r="B33">
        <v>1</v>
      </c>
      <c r="C33" t="s">
        <v>125</v>
      </c>
      <c r="E33" t="s">
        <v>126</v>
      </c>
      <c r="F33">
        <v>201799006</v>
      </c>
      <c r="G33">
        <v>2475640014</v>
      </c>
      <c r="H33">
        <v>32</v>
      </c>
      <c r="I33" t="e">
        <v>#N/A</v>
      </c>
    </row>
    <row r="34" spans="1:10" x14ac:dyDescent="0.35">
      <c r="A34" s="1" t="s">
        <v>130</v>
      </c>
      <c r="B34">
        <v>1</v>
      </c>
      <c r="C34" t="s">
        <v>131</v>
      </c>
      <c r="E34" t="s">
        <v>132</v>
      </c>
      <c r="F34">
        <v>239941000</v>
      </c>
      <c r="G34">
        <v>359517015</v>
      </c>
      <c r="H34">
        <v>32</v>
      </c>
      <c r="I34" t="e">
        <v>#N/A</v>
      </c>
    </row>
    <row r="35" spans="1:10" x14ac:dyDescent="0.35">
      <c r="A35">
        <v>123542016</v>
      </c>
      <c r="B35">
        <v>5588</v>
      </c>
      <c r="C35" t="s">
        <v>133</v>
      </c>
      <c r="D35" t="s">
        <v>134</v>
      </c>
      <c r="E35" t="s">
        <v>135</v>
      </c>
      <c r="F35">
        <v>74391003</v>
      </c>
      <c r="G35">
        <v>502690012</v>
      </c>
      <c r="H35">
        <v>32</v>
      </c>
      <c r="I35" t="e">
        <v>#N/A</v>
      </c>
    </row>
    <row r="36" spans="1:10" x14ac:dyDescent="0.35">
      <c r="A36" s="1" t="s">
        <v>136</v>
      </c>
      <c r="B36">
        <v>350</v>
      </c>
      <c r="C36" t="s">
        <v>137</v>
      </c>
      <c r="E36" t="s">
        <v>135</v>
      </c>
      <c r="F36">
        <v>74391003</v>
      </c>
      <c r="G36">
        <v>123542016</v>
      </c>
      <c r="H36">
        <v>32</v>
      </c>
      <c r="I36" t="e">
        <v>#N/A</v>
      </c>
    </row>
    <row r="37" spans="1:10" x14ac:dyDescent="0.35">
      <c r="A37" s="1" t="s">
        <v>138</v>
      </c>
      <c r="B37">
        <v>78</v>
      </c>
      <c r="C37" t="s">
        <v>139</v>
      </c>
      <c r="E37" t="s">
        <v>140</v>
      </c>
      <c r="F37">
        <v>74391003</v>
      </c>
      <c r="G37">
        <v>502689015</v>
      </c>
      <c r="H37">
        <v>32</v>
      </c>
      <c r="I37" t="e">
        <v>#N/A</v>
      </c>
    </row>
    <row r="38" spans="1:10" x14ac:dyDescent="0.35">
      <c r="A38">
        <v>502690012</v>
      </c>
      <c r="B38">
        <v>2740</v>
      </c>
      <c r="C38" t="s">
        <v>141</v>
      </c>
      <c r="D38" t="s">
        <v>142</v>
      </c>
      <c r="E38" t="s">
        <v>143</v>
      </c>
      <c r="F38">
        <v>74391003</v>
      </c>
      <c r="G38">
        <v>502690012</v>
      </c>
      <c r="H38">
        <v>32</v>
      </c>
      <c r="I38" t="e">
        <v>#N/A</v>
      </c>
    </row>
    <row r="39" spans="1:10" x14ac:dyDescent="0.35">
      <c r="A39" s="1" t="s">
        <v>147</v>
      </c>
      <c r="B39">
        <v>1</v>
      </c>
      <c r="C39" t="s">
        <v>148</v>
      </c>
      <c r="E39" t="s">
        <v>149</v>
      </c>
      <c r="F39">
        <v>69896004</v>
      </c>
      <c r="G39">
        <v>1788127016</v>
      </c>
      <c r="H39">
        <v>32</v>
      </c>
      <c r="I39" t="e">
        <v>#N/A</v>
      </c>
    </row>
    <row r="40" spans="1:10" x14ac:dyDescent="0.35">
      <c r="A40" s="1" t="s">
        <v>150</v>
      </c>
      <c r="B40">
        <v>35</v>
      </c>
      <c r="C40" t="s">
        <v>151</v>
      </c>
      <c r="E40" t="s">
        <v>152</v>
      </c>
      <c r="F40">
        <v>69896004</v>
      </c>
      <c r="G40">
        <v>1233202011</v>
      </c>
      <c r="H40">
        <v>32</v>
      </c>
      <c r="I40" t="e">
        <v>#N/A</v>
      </c>
      <c r="J40">
        <v>1</v>
      </c>
    </row>
    <row r="41" spans="1:10" x14ac:dyDescent="0.35">
      <c r="A41" s="1" t="s">
        <v>153</v>
      </c>
      <c r="B41">
        <v>1</v>
      </c>
      <c r="C41" t="s">
        <v>154</v>
      </c>
      <c r="E41" t="s">
        <v>155</v>
      </c>
      <c r="F41">
        <v>69896004</v>
      </c>
      <c r="G41">
        <v>1233204012</v>
      </c>
      <c r="H41">
        <v>32</v>
      </c>
      <c r="I41" t="e">
        <v>#N/A</v>
      </c>
      <c r="J41">
        <v>1</v>
      </c>
    </row>
    <row r="42" spans="1:10" x14ac:dyDescent="0.35">
      <c r="A42">
        <v>889751000006116</v>
      </c>
      <c r="B42">
        <v>299</v>
      </c>
      <c r="C42" t="s">
        <v>156</v>
      </c>
      <c r="D42" t="s">
        <v>157</v>
      </c>
      <c r="E42" t="s">
        <v>158</v>
      </c>
      <c r="F42">
        <v>69896004</v>
      </c>
      <c r="G42">
        <v>889751000006116</v>
      </c>
      <c r="H42">
        <v>32</v>
      </c>
      <c r="I42" t="e">
        <v>#N/A</v>
      </c>
      <c r="J42">
        <v>1</v>
      </c>
    </row>
    <row r="43" spans="1:10" x14ac:dyDescent="0.35">
      <c r="A43">
        <v>989331000006117</v>
      </c>
      <c r="B43">
        <v>1</v>
      </c>
      <c r="C43" t="s">
        <v>159</v>
      </c>
      <c r="D43" t="s">
        <v>160</v>
      </c>
      <c r="E43" t="s">
        <v>158</v>
      </c>
      <c r="F43">
        <v>201779000</v>
      </c>
      <c r="G43">
        <v>989331000006117</v>
      </c>
      <c r="H43">
        <v>32</v>
      </c>
      <c r="I43" t="e">
        <v>#N/A</v>
      </c>
      <c r="J43">
        <v>1</v>
      </c>
    </row>
    <row r="44" spans="1:10" x14ac:dyDescent="0.35">
      <c r="A44">
        <v>889801000006111</v>
      </c>
      <c r="B44">
        <v>50</v>
      </c>
      <c r="C44" t="s">
        <v>161</v>
      </c>
      <c r="D44" t="s">
        <v>162</v>
      </c>
      <c r="E44" t="s">
        <v>163</v>
      </c>
      <c r="F44">
        <v>69896004</v>
      </c>
      <c r="G44">
        <v>889801000006111</v>
      </c>
      <c r="H44">
        <v>32</v>
      </c>
      <c r="I44" t="e">
        <v>#N/A</v>
      </c>
      <c r="J44">
        <v>1</v>
      </c>
    </row>
    <row r="45" spans="1:10" x14ac:dyDescent="0.35">
      <c r="A45">
        <v>889781000006112</v>
      </c>
      <c r="B45">
        <v>929</v>
      </c>
      <c r="C45" t="s">
        <v>164</v>
      </c>
      <c r="D45" t="s">
        <v>165</v>
      </c>
      <c r="E45" t="s">
        <v>166</v>
      </c>
      <c r="F45">
        <v>69896004</v>
      </c>
      <c r="G45">
        <v>889781000006112</v>
      </c>
      <c r="H45">
        <v>32</v>
      </c>
      <c r="I45" t="e">
        <v>#N/A</v>
      </c>
      <c r="J45">
        <v>1</v>
      </c>
    </row>
    <row r="46" spans="1:10" x14ac:dyDescent="0.35">
      <c r="A46">
        <v>989301000006113</v>
      </c>
      <c r="B46">
        <v>3</v>
      </c>
      <c r="C46" t="s">
        <v>167</v>
      </c>
      <c r="D46" t="s">
        <v>168</v>
      </c>
      <c r="E46" t="s">
        <v>166</v>
      </c>
      <c r="F46">
        <v>201772009</v>
      </c>
      <c r="G46">
        <v>989301000006113</v>
      </c>
      <c r="H46">
        <v>32</v>
      </c>
      <c r="I46" t="e">
        <v>#N/A</v>
      </c>
      <c r="J46">
        <v>1</v>
      </c>
    </row>
    <row r="47" spans="1:10" x14ac:dyDescent="0.35">
      <c r="A47">
        <v>889771000006114</v>
      </c>
      <c r="B47">
        <v>94</v>
      </c>
      <c r="C47" t="s">
        <v>169</v>
      </c>
      <c r="D47" t="s">
        <v>170</v>
      </c>
      <c r="E47" t="s">
        <v>171</v>
      </c>
      <c r="F47">
        <v>69896004</v>
      </c>
      <c r="G47">
        <v>889771000006114</v>
      </c>
      <c r="H47">
        <v>32</v>
      </c>
      <c r="I47" t="e">
        <v>#N/A</v>
      </c>
      <c r="J47">
        <v>1</v>
      </c>
    </row>
    <row r="48" spans="1:10" x14ac:dyDescent="0.35">
      <c r="A48">
        <v>989311000006111</v>
      </c>
      <c r="B48">
        <v>1</v>
      </c>
      <c r="C48" t="s">
        <v>172</v>
      </c>
      <c r="D48" t="s">
        <v>173</v>
      </c>
      <c r="E48" t="s">
        <v>171</v>
      </c>
      <c r="F48">
        <v>201775006</v>
      </c>
      <c r="G48">
        <v>989311000006111</v>
      </c>
      <c r="H48">
        <v>32</v>
      </c>
      <c r="I48" t="e">
        <v>#N/A</v>
      </c>
      <c r="J48">
        <v>1</v>
      </c>
    </row>
    <row r="49" spans="1:10" x14ac:dyDescent="0.35">
      <c r="A49">
        <v>889761000006119</v>
      </c>
      <c r="B49">
        <v>611</v>
      </c>
      <c r="C49" t="s">
        <v>174</v>
      </c>
      <c r="D49" t="s">
        <v>175</v>
      </c>
      <c r="E49" t="s">
        <v>176</v>
      </c>
      <c r="F49">
        <v>69896004</v>
      </c>
      <c r="G49">
        <v>889761000006119</v>
      </c>
      <c r="H49">
        <v>32</v>
      </c>
      <c r="I49" t="e">
        <v>#N/A</v>
      </c>
      <c r="J49">
        <v>1</v>
      </c>
    </row>
    <row r="50" spans="1:10" x14ac:dyDescent="0.35">
      <c r="A50">
        <v>989321000006115</v>
      </c>
      <c r="B50">
        <v>1</v>
      </c>
      <c r="C50" t="s">
        <v>177</v>
      </c>
      <c r="D50" t="s">
        <v>178</v>
      </c>
      <c r="E50" t="s">
        <v>176</v>
      </c>
      <c r="F50">
        <v>201777003</v>
      </c>
      <c r="G50">
        <v>989321000006115</v>
      </c>
      <c r="H50">
        <v>32</v>
      </c>
      <c r="I50" t="e">
        <v>#N/A</v>
      </c>
      <c r="J50">
        <v>1</v>
      </c>
    </row>
    <row r="51" spans="1:10" x14ac:dyDescent="0.35">
      <c r="A51">
        <v>889821000006118</v>
      </c>
      <c r="B51">
        <v>8774</v>
      </c>
      <c r="C51" t="s">
        <v>179</v>
      </c>
      <c r="D51" t="s">
        <v>180</v>
      </c>
      <c r="E51" t="s">
        <v>181</v>
      </c>
      <c r="F51">
        <v>69896004</v>
      </c>
      <c r="G51">
        <v>889821000006118</v>
      </c>
      <c r="H51">
        <v>32</v>
      </c>
      <c r="I51" t="e">
        <v>#N/A</v>
      </c>
      <c r="J51">
        <v>1</v>
      </c>
    </row>
    <row r="52" spans="1:10" x14ac:dyDescent="0.35">
      <c r="A52">
        <v>889741000006118</v>
      </c>
      <c r="B52">
        <v>53</v>
      </c>
      <c r="C52" t="s">
        <v>182</v>
      </c>
      <c r="D52" t="s">
        <v>183</v>
      </c>
      <c r="E52" t="s">
        <v>184</v>
      </c>
      <c r="F52">
        <v>69896004</v>
      </c>
      <c r="G52">
        <v>889741000006118</v>
      </c>
      <c r="H52">
        <v>32</v>
      </c>
      <c r="I52" t="e">
        <v>#N/A</v>
      </c>
      <c r="J52">
        <v>1</v>
      </c>
    </row>
    <row r="53" spans="1:10" x14ac:dyDescent="0.35">
      <c r="A53">
        <v>889811000006114</v>
      </c>
      <c r="B53">
        <v>81</v>
      </c>
      <c r="C53" t="s">
        <v>185</v>
      </c>
      <c r="D53" t="s">
        <v>186</v>
      </c>
      <c r="E53" t="s">
        <v>187</v>
      </c>
      <c r="F53">
        <v>69896004</v>
      </c>
      <c r="G53">
        <v>889811000006114</v>
      </c>
      <c r="H53">
        <v>32</v>
      </c>
      <c r="I53" t="e">
        <v>#N/A</v>
      </c>
      <c r="J53">
        <v>1</v>
      </c>
    </row>
    <row r="54" spans="1:10" x14ac:dyDescent="0.35">
      <c r="A54">
        <v>889791000006110</v>
      </c>
      <c r="B54">
        <v>849</v>
      </c>
      <c r="C54" t="s">
        <v>188</v>
      </c>
      <c r="D54" t="s">
        <v>189</v>
      </c>
      <c r="E54" t="s">
        <v>190</v>
      </c>
      <c r="F54">
        <v>69896004</v>
      </c>
      <c r="G54">
        <v>889791000006110</v>
      </c>
      <c r="H54">
        <v>32</v>
      </c>
      <c r="I54" t="e">
        <v>#N/A</v>
      </c>
      <c r="J54">
        <v>1</v>
      </c>
    </row>
    <row r="55" spans="1:10" x14ac:dyDescent="0.35">
      <c r="A55">
        <v>989291000006112</v>
      </c>
      <c r="B55">
        <v>4</v>
      </c>
      <c r="C55" t="s">
        <v>191</v>
      </c>
      <c r="D55" t="s">
        <v>192</v>
      </c>
      <c r="E55" t="s">
        <v>190</v>
      </c>
      <c r="F55">
        <v>201771002</v>
      </c>
      <c r="G55">
        <v>989291000006112</v>
      </c>
      <c r="H55">
        <v>32</v>
      </c>
      <c r="I55" t="e">
        <v>#N/A</v>
      </c>
      <c r="J55">
        <v>1</v>
      </c>
    </row>
    <row r="56" spans="1:10" x14ac:dyDescent="0.35">
      <c r="A56" s="1" t="s">
        <v>193</v>
      </c>
      <c r="B56">
        <v>1</v>
      </c>
      <c r="C56" t="s">
        <v>194</v>
      </c>
      <c r="E56" t="s">
        <v>195</v>
      </c>
      <c r="F56">
        <v>69896004</v>
      </c>
      <c r="G56">
        <v>116085013</v>
      </c>
      <c r="H56">
        <v>32</v>
      </c>
      <c r="I56" t="e">
        <v>#N/A</v>
      </c>
      <c r="J56">
        <v>1</v>
      </c>
    </row>
    <row r="57" spans="1:10" x14ac:dyDescent="0.35">
      <c r="A57" s="1" t="s">
        <v>199</v>
      </c>
      <c r="B57">
        <v>48</v>
      </c>
      <c r="C57" t="s">
        <v>200</v>
      </c>
      <c r="E57" t="s">
        <v>201</v>
      </c>
      <c r="F57">
        <v>287008006</v>
      </c>
      <c r="G57">
        <v>1489971016</v>
      </c>
      <c r="H57">
        <v>32</v>
      </c>
      <c r="I57" t="e">
        <v>#N/A</v>
      </c>
      <c r="J57">
        <v>1</v>
      </c>
    </row>
    <row r="58" spans="1:10" x14ac:dyDescent="0.35">
      <c r="A58" s="1" t="s">
        <v>202</v>
      </c>
      <c r="B58">
        <v>145</v>
      </c>
      <c r="C58" t="s">
        <v>203</v>
      </c>
      <c r="E58" t="s">
        <v>204</v>
      </c>
      <c r="F58">
        <v>287007001</v>
      </c>
      <c r="G58">
        <v>426511016</v>
      </c>
      <c r="H58">
        <v>32</v>
      </c>
      <c r="I58" t="e">
        <v>#N/A</v>
      </c>
      <c r="J58">
        <v>1</v>
      </c>
    </row>
    <row r="59" spans="1:10" x14ac:dyDescent="0.35">
      <c r="A59" s="1" t="s">
        <v>211</v>
      </c>
      <c r="B59">
        <v>1361</v>
      </c>
      <c r="C59" t="s">
        <v>212</v>
      </c>
      <c r="E59" t="s">
        <v>213</v>
      </c>
      <c r="F59">
        <v>143441000119108</v>
      </c>
      <c r="G59">
        <v>3333233010</v>
      </c>
      <c r="H59">
        <v>32</v>
      </c>
      <c r="I59" t="e">
        <v>#N/A</v>
      </c>
    </row>
    <row r="60" spans="1:10" x14ac:dyDescent="0.35">
      <c r="A60">
        <v>889731000006111</v>
      </c>
      <c r="B60">
        <v>15341</v>
      </c>
      <c r="C60" t="s">
        <v>214</v>
      </c>
      <c r="D60" t="s">
        <v>215</v>
      </c>
      <c r="E60" t="s">
        <v>216</v>
      </c>
      <c r="F60">
        <v>69896004</v>
      </c>
      <c r="G60">
        <v>889731000006111</v>
      </c>
      <c r="H60">
        <v>32</v>
      </c>
      <c r="I60" t="e">
        <v>#N/A</v>
      </c>
      <c r="J60">
        <v>1</v>
      </c>
    </row>
    <row r="61" spans="1:10" x14ac:dyDescent="0.35">
      <c r="A61" s="1" t="s">
        <v>226</v>
      </c>
      <c r="B61">
        <v>2</v>
      </c>
      <c r="C61" t="s">
        <v>227</v>
      </c>
      <c r="E61" t="s">
        <v>228</v>
      </c>
      <c r="F61" s="1" t="s">
        <v>53</v>
      </c>
      <c r="G61">
        <v>3773915010</v>
      </c>
      <c r="H61">
        <v>32</v>
      </c>
      <c r="I61" t="e">
        <v>#N/A</v>
      </c>
      <c r="J61">
        <v>1</v>
      </c>
    </row>
    <row r="62" spans="1:10" x14ac:dyDescent="0.35">
      <c r="A62" s="1" t="s">
        <v>229</v>
      </c>
      <c r="B62">
        <v>5</v>
      </c>
      <c r="C62" t="s">
        <v>230</v>
      </c>
      <c r="E62" t="s">
        <v>231</v>
      </c>
      <c r="F62" s="1" t="s">
        <v>49</v>
      </c>
      <c r="G62">
        <v>3773910017</v>
      </c>
      <c r="H62">
        <v>32</v>
      </c>
      <c r="I62" t="e">
        <v>#N/A</v>
      </c>
      <c r="J62">
        <v>1</v>
      </c>
    </row>
    <row r="63" spans="1:10" x14ac:dyDescent="0.35">
      <c r="A63" s="1" t="s">
        <v>232</v>
      </c>
      <c r="B63">
        <v>4</v>
      </c>
      <c r="C63" t="s">
        <v>233</v>
      </c>
      <c r="E63" t="s">
        <v>234</v>
      </c>
      <c r="F63" s="1" t="s">
        <v>53</v>
      </c>
      <c r="G63">
        <v>3773914014</v>
      </c>
      <c r="H63">
        <v>32</v>
      </c>
      <c r="I63" t="e">
        <v>#N/A</v>
      </c>
      <c r="J63">
        <v>1</v>
      </c>
    </row>
    <row r="64" spans="1:10" x14ac:dyDescent="0.35">
      <c r="A64" s="1" t="s">
        <v>241</v>
      </c>
      <c r="B64">
        <v>31</v>
      </c>
      <c r="C64" t="s">
        <v>242</v>
      </c>
      <c r="E64" t="s">
        <v>243</v>
      </c>
      <c r="F64">
        <v>201770001</v>
      </c>
      <c r="G64">
        <v>309793012</v>
      </c>
      <c r="H64">
        <v>32</v>
      </c>
      <c r="I64" t="e">
        <v>#N/A</v>
      </c>
      <c r="J64">
        <v>1</v>
      </c>
    </row>
    <row r="65" spans="1:10" x14ac:dyDescent="0.35">
      <c r="A65" s="1" t="s">
        <v>250</v>
      </c>
      <c r="B65">
        <v>95</v>
      </c>
      <c r="C65" t="s">
        <v>251</v>
      </c>
      <c r="E65" t="s">
        <v>252</v>
      </c>
      <c r="F65">
        <v>201783000</v>
      </c>
      <c r="G65">
        <v>309806016</v>
      </c>
      <c r="H65">
        <v>32</v>
      </c>
      <c r="I65" t="e">
        <v>#N/A</v>
      </c>
      <c r="J65">
        <v>1</v>
      </c>
    </row>
    <row r="66" spans="1:10" x14ac:dyDescent="0.35">
      <c r="A66" s="1" t="s">
        <v>253</v>
      </c>
      <c r="B66">
        <v>46</v>
      </c>
      <c r="C66" t="s">
        <v>254</v>
      </c>
      <c r="E66" t="s">
        <v>255</v>
      </c>
      <c r="F66">
        <v>429192004</v>
      </c>
      <c r="G66">
        <v>2696026017</v>
      </c>
      <c r="H66">
        <v>32</v>
      </c>
      <c r="I66" t="e">
        <v>#N/A</v>
      </c>
      <c r="J66">
        <v>1</v>
      </c>
    </row>
    <row r="67" spans="1:10" x14ac:dyDescent="0.35">
      <c r="A67" s="1" t="s">
        <v>256</v>
      </c>
      <c r="B67">
        <v>2</v>
      </c>
      <c r="C67" t="s">
        <v>257</v>
      </c>
      <c r="E67" t="s">
        <v>258</v>
      </c>
      <c r="F67">
        <v>287007001</v>
      </c>
      <c r="G67">
        <v>3035792015</v>
      </c>
      <c r="H67">
        <v>32</v>
      </c>
      <c r="I67" t="e">
        <v>#N/A</v>
      </c>
      <c r="J67">
        <v>1</v>
      </c>
    </row>
    <row r="68" spans="1:10" x14ac:dyDescent="0.35">
      <c r="A68">
        <v>162081000006111</v>
      </c>
      <c r="B68">
        <v>81</v>
      </c>
      <c r="C68" t="s">
        <v>262</v>
      </c>
      <c r="D68" t="s">
        <v>263</v>
      </c>
      <c r="E68" t="s">
        <v>264</v>
      </c>
      <c r="F68">
        <v>201785007</v>
      </c>
      <c r="G68">
        <v>309809011</v>
      </c>
      <c r="H68">
        <v>32</v>
      </c>
      <c r="I68" t="e">
        <v>#N/A</v>
      </c>
      <c r="J68">
        <v>1</v>
      </c>
    </row>
    <row r="69" spans="1:10" x14ac:dyDescent="0.35">
      <c r="A69" s="1" t="s">
        <v>265</v>
      </c>
      <c r="B69">
        <v>16</v>
      </c>
      <c r="C69" t="s">
        <v>266</v>
      </c>
      <c r="E69" t="s">
        <v>267</v>
      </c>
      <c r="F69">
        <v>781206002</v>
      </c>
      <c r="G69">
        <v>3745307011</v>
      </c>
      <c r="H69">
        <v>32</v>
      </c>
      <c r="I69" t="e">
        <v>#N/A</v>
      </c>
      <c r="J69">
        <v>1</v>
      </c>
    </row>
    <row r="70" spans="1:10" x14ac:dyDescent="0.35">
      <c r="A70" s="1" t="s">
        <v>271</v>
      </c>
      <c r="B70">
        <v>7</v>
      </c>
      <c r="C70" t="s">
        <v>272</v>
      </c>
      <c r="E70" t="s">
        <v>273</v>
      </c>
      <c r="F70" s="1" t="s">
        <v>274</v>
      </c>
      <c r="G70">
        <v>3775590011</v>
      </c>
      <c r="H70">
        <v>32</v>
      </c>
      <c r="I70" t="e">
        <v>#N/A</v>
      </c>
      <c r="J70">
        <v>1</v>
      </c>
    </row>
    <row r="71" spans="1:10" x14ac:dyDescent="0.35">
      <c r="A71">
        <v>3528259014</v>
      </c>
      <c r="B71">
        <v>15</v>
      </c>
      <c r="C71" t="s">
        <v>275</v>
      </c>
      <c r="E71" t="s">
        <v>276</v>
      </c>
      <c r="F71" s="1" t="s">
        <v>277</v>
      </c>
      <c r="G71">
        <v>3528259014</v>
      </c>
      <c r="H71">
        <v>32</v>
      </c>
      <c r="I71" t="e">
        <v>#N/A</v>
      </c>
      <c r="J71">
        <v>1</v>
      </c>
    </row>
    <row r="72" spans="1:10" x14ac:dyDescent="0.35">
      <c r="A72">
        <v>3528264013</v>
      </c>
      <c r="B72">
        <v>35</v>
      </c>
      <c r="C72" t="s">
        <v>278</v>
      </c>
      <c r="E72" t="s">
        <v>279</v>
      </c>
      <c r="F72" s="1" t="s">
        <v>280</v>
      </c>
      <c r="G72">
        <v>3528264013</v>
      </c>
      <c r="H72">
        <v>32</v>
      </c>
      <c r="I72" t="e">
        <v>#N/A</v>
      </c>
      <c r="J72">
        <v>1</v>
      </c>
    </row>
    <row r="73" spans="1:10" x14ac:dyDescent="0.35">
      <c r="A73" s="1" t="s">
        <v>281</v>
      </c>
      <c r="B73">
        <v>51</v>
      </c>
      <c r="C73" t="s">
        <v>282</v>
      </c>
      <c r="E73" t="s">
        <v>283</v>
      </c>
      <c r="F73" s="1" t="s">
        <v>284</v>
      </c>
      <c r="G73">
        <v>3333699019</v>
      </c>
      <c r="H73">
        <v>32</v>
      </c>
      <c r="I73" t="e">
        <v>#N/A</v>
      </c>
      <c r="J73">
        <v>1</v>
      </c>
    </row>
    <row r="74" spans="1:10" x14ac:dyDescent="0.35">
      <c r="A74" s="1" t="s">
        <v>285</v>
      </c>
      <c r="B74">
        <v>22</v>
      </c>
      <c r="C74" t="s">
        <v>286</v>
      </c>
      <c r="E74" t="s">
        <v>287</v>
      </c>
      <c r="F74" s="1" t="s">
        <v>288</v>
      </c>
      <c r="G74">
        <v>3644983011</v>
      </c>
      <c r="H74">
        <v>32</v>
      </c>
      <c r="I74" t="e">
        <v>#N/A</v>
      </c>
      <c r="J74">
        <v>1</v>
      </c>
    </row>
    <row r="75" spans="1:10" x14ac:dyDescent="0.35">
      <c r="A75" s="1" t="s">
        <v>289</v>
      </c>
      <c r="B75">
        <v>11</v>
      </c>
      <c r="C75" t="s">
        <v>290</v>
      </c>
      <c r="E75" t="s">
        <v>291</v>
      </c>
      <c r="F75" s="1" t="s">
        <v>292</v>
      </c>
      <c r="G75">
        <v>3724902014</v>
      </c>
      <c r="H75">
        <v>32</v>
      </c>
      <c r="I75" t="e">
        <v>#N/A</v>
      </c>
      <c r="J75">
        <v>1</v>
      </c>
    </row>
    <row r="76" spans="1:10" x14ac:dyDescent="0.35">
      <c r="A76" s="1" t="s">
        <v>299</v>
      </c>
      <c r="B76">
        <v>3863</v>
      </c>
      <c r="C76" t="s">
        <v>300</v>
      </c>
      <c r="E76" t="s">
        <v>301</v>
      </c>
      <c r="F76">
        <v>287006005</v>
      </c>
      <c r="G76">
        <v>2692387019</v>
      </c>
      <c r="H76">
        <v>32</v>
      </c>
      <c r="I76" t="e">
        <v>#N/A</v>
      </c>
      <c r="J76">
        <v>1</v>
      </c>
    </row>
    <row r="77" spans="1:10" x14ac:dyDescent="0.35">
      <c r="A77" s="1" t="s">
        <v>308</v>
      </c>
      <c r="B77">
        <v>20</v>
      </c>
      <c r="C77" t="s">
        <v>309</v>
      </c>
      <c r="E77" t="s">
        <v>310</v>
      </c>
      <c r="F77" s="1" t="s">
        <v>311</v>
      </c>
      <c r="G77">
        <v>3775592015</v>
      </c>
      <c r="H77">
        <v>32</v>
      </c>
      <c r="I77" t="e">
        <v>#N/A</v>
      </c>
      <c r="J77">
        <v>1</v>
      </c>
    </row>
    <row r="78" spans="1:10" x14ac:dyDescent="0.35">
      <c r="A78">
        <v>3528262012</v>
      </c>
      <c r="B78">
        <v>15</v>
      </c>
      <c r="C78" t="s">
        <v>312</v>
      </c>
      <c r="E78" t="s">
        <v>313</v>
      </c>
      <c r="F78" s="1" t="s">
        <v>314</v>
      </c>
      <c r="G78">
        <v>3528262012</v>
      </c>
      <c r="H78">
        <v>32</v>
      </c>
      <c r="I78" t="e">
        <v>#N/A</v>
      </c>
      <c r="J78">
        <v>1</v>
      </c>
    </row>
    <row r="79" spans="1:10" x14ac:dyDescent="0.35">
      <c r="A79">
        <v>3528266010</v>
      </c>
      <c r="B79">
        <v>46</v>
      </c>
      <c r="C79" t="s">
        <v>315</v>
      </c>
      <c r="E79" t="s">
        <v>316</v>
      </c>
      <c r="F79" s="1" t="s">
        <v>317</v>
      </c>
      <c r="G79">
        <v>3528266010</v>
      </c>
      <c r="H79">
        <v>32</v>
      </c>
      <c r="I79" t="e">
        <v>#N/A</v>
      </c>
      <c r="J79">
        <v>1</v>
      </c>
    </row>
    <row r="80" spans="1:10" x14ac:dyDescent="0.35">
      <c r="A80" s="1" t="s">
        <v>318</v>
      </c>
      <c r="B80">
        <v>59</v>
      </c>
      <c r="C80" t="s">
        <v>319</v>
      </c>
      <c r="E80" t="s">
        <v>320</v>
      </c>
      <c r="F80" s="1" t="s">
        <v>321</v>
      </c>
      <c r="G80">
        <v>3333701019</v>
      </c>
      <c r="H80">
        <v>32</v>
      </c>
      <c r="I80" t="e">
        <v>#N/A</v>
      </c>
      <c r="J80">
        <v>1</v>
      </c>
    </row>
    <row r="81" spans="1:10" x14ac:dyDescent="0.35">
      <c r="A81" s="1" t="s">
        <v>322</v>
      </c>
      <c r="B81">
        <v>22</v>
      </c>
      <c r="C81" t="s">
        <v>323</v>
      </c>
      <c r="E81" t="s">
        <v>324</v>
      </c>
      <c r="F81" s="1" t="s">
        <v>325</v>
      </c>
      <c r="G81">
        <v>3644984017</v>
      </c>
      <c r="H81">
        <v>32</v>
      </c>
      <c r="I81" t="e">
        <v>#N/A</v>
      </c>
      <c r="J81">
        <v>1</v>
      </c>
    </row>
    <row r="82" spans="1:10" x14ac:dyDescent="0.35">
      <c r="A82" s="1" t="s">
        <v>326</v>
      </c>
      <c r="B82">
        <v>9</v>
      </c>
      <c r="C82" t="s">
        <v>327</v>
      </c>
      <c r="E82" t="s">
        <v>328</v>
      </c>
      <c r="F82" s="1" t="s">
        <v>329</v>
      </c>
      <c r="G82">
        <v>3724904010</v>
      </c>
      <c r="H82">
        <v>32</v>
      </c>
      <c r="I82" t="e">
        <v>#N/A</v>
      </c>
      <c r="J82">
        <v>1</v>
      </c>
    </row>
    <row r="83" spans="1:10" x14ac:dyDescent="0.35">
      <c r="A83">
        <v>309790010</v>
      </c>
      <c r="B83">
        <v>49</v>
      </c>
      <c r="C83" t="s">
        <v>339</v>
      </c>
      <c r="D83" t="s">
        <v>340</v>
      </c>
      <c r="E83" t="s">
        <v>341</v>
      </c>
      <c r="F83">
        <v>201767000</v>
      </c>
      <c r="G83">
        <v>309790010</v>
      </c>
      <c r="H83">
        <v>32</v>
      </c>
      <c r="I83" t="e">
        <v>#N/A</v>
      </c>
      <c r="J83">
        <v>1</v>
      </c>
    </row>
    <row r="84" spans="1:10" x14ac:dyDescent="0.35">
      <c r="A84" s="1" t="s">
        <v>348</v>
      </c>
      <c r="B84">
        <v>52</v>
      </c>
      <c r="C84" t="s">
        <v>349</v>
      </c>
      <c r="E84" t="s">
        <v>350</v>
      </c>
      <c r="F84">
        <v>427770001</v>
      </c>
      <c r="G84">
        <v>2692557014</v>
      </c>
      <c r="H84">
        <v>32</v>
      </c>
      <c r="I84" t="e">
        <v>#N/A</v>
      </c>
      <c r="J84">
        <v>1</v>
      </c>
    </row>
    <row r="85" spans="1:10" x14ac:dyDescent="0.35">
      <c r="A85" s="1" t="s">
        <v>351</v>
      </c>
      <c r="B85">
        <v>9</v>
      </c>
      <c r="C85" t="s">
        <v>352</v>
      </c>
      <c r="E85" t="s">
        <v>353</v>
      </c>
      <c r="F85">
        <v>201778008</v>
      </c>
      <c r="G85">
        <v>309801014</v>
      </c>
      <c r="H85">
        <v>32</v>
      </c>
      <c r="I85" t="e">
        <v>#N/A</v>
      </c>
      <c r="J85">
        <v>1</v>
      </c>
    </row>
    <row r="86" spans="1:10" x14ac:dyDescent="0.35">
      <c r="A86">
        <v>162191000006110</v>
      </c>
      <c r="B86">
        <v>7</v>
      </c>
      <c r="C86" t="s">
        <v>354</v>
      </c>
      <c r="D86" t="s">
        <v>355</v>
      </c>
      <c r="E86" t="s">
        <v>356</v>
      </c>
      <c r="F86">
        <v>201778008</v>
      </c>
      <c r="G86">
        <v>309801014</v>
      </c>
      <c r="H86">
        <v>32</v>
      </c>
      <c r="I86" t="e">
        <v>#N/A</v>
      </c>
      <c r="J86">
        <v>1</v>
      </c>
    </row>
    <row r="87" spans="1:10" x14ac:dyDescent="0.35">
      <c r="A87" s="1" t="s">
        <v>360</v>
      </c>
      <c r="B87">
        <v>50</v>
      </c>
      <c r="C87" t="s">
        <v>361</v>
      </c>
      <c r="E87" t="s">
        <v>362</v>
      </c>
      <c r="F87">
        <v>735599007</v>
      </c>
      <c r="G87">
        <v>4554595017</v>
      </c>
      <c r="H87">
        <v>32</v>
      </c>
      <c r="I87" t="e">
        <v>#N/A</v>
      </c>
      <c r="J87">
        <v>1</v>
      </c>
    </row>
    <row r="88" spans="1:10" x14ac:dyDescent="0.35">
      <c r="A88">
        <v>3514958019</v>
      </c>
      <c r="B88">
        <v>2</v>
      </c>
      <c r="C88" t="s">
        <v>366</v>
      </c>
      <c r="E88" t="s">
        <v>367</v>
      </c>
      <c r="F88">
        <v>735600005</v>
      </c>
      <c r="G88">
        <v>3514958019</v>
      </c>
      <c r="H88">
        <v>32</v>
      </c>
      <c r="I88" t="e">
        <v>#N/A</v>
      </c>
      <c r="J88">
        <v>1</v>
      </c>
    </row>
    <row r="89" spans="1:10" x14ac:dyDescent="0.35">
      <c r="A89" s="1" t="s">
        <v>371</v>
      </c>
      <c r="B89">
        <v>83</v>
      </c>
      <c r="C89" t="s">
        <v>372</v>
      </c>
      <c r="E89" t="s">
        <v>373</v>
      </c>
      <c r="F89">
        <v>69896004</v>
      </c>
      <c r="G89">
        <v>1233203018</v>
      </c>
      <c r="H89">
        <v>32</v>
      </c>
      <c r="I89" t="e">
        <v>#N/A</v>
      </c>
      <c r="J89">
        <v>1</v>
      </c>
    </row>
    <row r="90" spans="1:10" x14ac:dyDescent="0.35">
      <c r="A90" s="1" t="s">
        <v>382</v>
      </c>
      <c r="B90">
        <v>32</v>
      </c>
      <c r="C90" t="s">
        <v>383</v>
      </c>
      <c r="E90" t="s">
        <v>384</v>
      </c>
      <c r="F90">
        <v>319841000119107</v>
      </c>
      <c r="G90">
        <v>3306524016</v>
      </c>
      <c r="H90">
        <v>32</v>
      </c>
      <c r="I90" t="e">
        <v>#N/A</v>
      </c>
      <c r="J90">
        <v>1</v>
      </c>
    </row>
    <row r="91" spans="1:10" x14ac:dyDescent="0.35">
      <c r="A91" s="1" t="s">
        <v>390</v>
      </c>
      <c r="B91">
        <v>1</v>
      </c>
      <c r="C91" t="s">
        <v>391</v>
      </c>
      <c r="E91" t="s">
        <v>392</v>
      </c>
      <c r="F91">
        <v>7607008</v>
      </c>
      <c r="G91">
        <v>4553410016</v>
      </c>
      <c r="H91">
        <v>32</v>
      </c>
      <c r="I91" t="e">
        <v>#N/A</v>
      </c>
      <c r="J91">
        <v>1</v>
      </c>
    </row>
    <row r="92" spans="1:10" x14ac:dyDescent="0.35">
      <c r="A92">
        <v>215551000000114</v>
      </c>
      <c r="B92">
        <v>25702</v>
      </c>
      <c r="C92" t="s">
        <v>396</v>
      </c>
      <c r="D92" t="s">
        <v>397</v>
      </c>
      <c r="E92" t="s">
        <v>398</v>
      </c>
      <c r="F92">
        <v>399112009</v>
      </c>
      <c r="G92">
        <v>1778572013</v>
      </c>
      <c r="H92">
        <v>32</v>
      </c>
      <c r="I92" t="e">
        <v>#N/A</v>
      </c>
      <c r="J92">
        <v>1</v>
      </c>
    </row>
    <row r="93" spans="1:10" x14ac:dyDescent="0.35">
      <c r="A93">
        <v>219271000000117</v>
      </c>
      <c r="B93">
        <v>156934</v>
      </c>
      <c r="C93" t="s">
        <v>399</v>
      </c>
      <c r="D93" t="s">
        <v>400</v>
      </c>
      <c r="E93" t="s">
        <v>401</v>
      </c>
      <c r="F93">
        <v>399112009</v>
      </c>
      <c r="G93">
        <v>1778572013</v>
      </c>
      <c r="H93">
        <v>32</v>
      </c>
      <c r="I93" t="e">
        <v>#N/A</v>
      </c>
      <c r="J93">
        <v>1</v>
      </c>
    </row>
    <row r="94" spans="1:10" x14ac:dyDescent="0.35">
      <c r="A94" s="1" t="s">
        <v>405</v>
      </c>
      <c r="B94">
        <v>33</v>
      </c>
      <c r="C94" t="s">
        <v>406</v>
      </c>
      <c r="E94" t="s">
        <v>407</v>
      </c>
      <c r="F94">
        <v>319081000119109</v>
      </c>
      <c r="G94">
        <v>4554613015</v>
      </c>
      <c r="H94">
        <v>32</v>
      </c>
      <c r="I94" t="e">
        <v>#N/A</v>
      </c>
      <c r="J94">
        <v>1</v>
      </c>
    </row>
    <row r="95" spans="1:10" x14ac:dyDescent="0.35">
      <c r="A95" s="1" t="s">
        <v>408</v>
      </c>
      <c r="B95">
        <v>156</v>
      </c>
      <c r="C95" t="s">
        <v>409</v>
      </c>
      <c r="E95" t="s">
        <v>410</v>
      </c>
      <c r="F95">
        <v>319081000119109</v>
      </c>
      <c r="G95">
        <v>3773965018</v>
      </c>
      <c r="H95">
        <v>32</v>
      </c>
      <c r="I95" t="e">
        <v>#N/A</v>
      </c>
      <c r="J95">
        <v>1</v>
      </c>
    </row>
    <row r="96" spans="1:10" x14ac:dyDescent="0.35">
      <c r="A96" s="1" t="s">
        <v>417</v>
      </c>
      <c r="B96">
        <v>24</v>
      </c>
      <c r="C96" t="s">
        <v>418</v>
      </c>
      <c r="E96" t="s">
        <v>419</v>
      </c>
      <c r="F96" s="1" t="s">
        <v>420</v>
      </c>
      <c r="G96">
        <v>3333693018</v>
      </c>
      <c r="H96">
        <v>32</v>
      </c>
      <c r="I96" t="e">
        <v>#N/A</v>
      </c>
      <c r="J96">
        <v>1</v>
      </c>
    </row>
    <row r="97" spans="1:10" x14ac:dyDescent="0.35">
      <c r="A97" s="1" t="s">
        <v>421</v>
      </c>
      <c r="B97">
        <v>9</v>
      </c>
      <c r="C97" t="s">
        <v>422</v>
      </c>
      <c r="E97" t="s">
        <v>423</v>
      </c>
      <c r="F97">
        <v>9631008</v>
      </c>
      <c r="G97">
        <v>16838016</v>
      </c>
      <c r="H97">
        <v>32</v>
      </c>
      <c r="I97" t="e">
        <v>#N/A</v>
      </c>
    </row>
    <row r="98" spans="1:10" x14ac:dyDescent="0.35">
      <c r="A98">
        <v>889841000006113</v>
      </c>
      <c r="B98">
        <v>1456</v>
      </c>
      <c r="C98" t="s">
        <v>424</v>
      </c>
      <c r="D98" t="s">
        <v>425</v>
      </c>
      <c r="E98" t="s">
        <v>426</v>
      </c>
      <c r="F98">
        <v>201796004</v>
      </c>
      <c r="G98">
        <v>889841000006113</v>
      </c>
      <c r="H98">
        <v>32</v>
      </c>
      <c r="I98" t="e">
        <v>#N/A</v>
      </c>
    </row>
    <row r="99" spans="1:10" x14ac:dyDescent="0.35">
      <c r="A99" s="1" t="s">
        <v>427</v>
      </c>
      <c r="B99">
        <v>213</v>
      </c>
      <c r="C99" t="s">
        <v>428</v>
      </c>
      <c r="E99" t="s">
        <v>429</v>
      </c>
      <c r="F99">
        <v>33719002</v>
      </c>
      <c r="G99">
        <v>56293018</v>
      </c>
      <c r="H99">
        <v>32</v>
      </c>
      <c r="I99" t="e">
        <v>#N/A</v>
      </c>
      <c r="J99">
        <v>1</v>
      </c>
    </row>
    <row r="100" spans="1:10" x14ac:dyDescent="0.35">
      <c r="A100" s="1" t="s">
        <v>430</v>
      </c>
      <c r="B100">
        <v>5</v>
      </c>
      <c r="C100" t="s">
        <v>431</v>
      </c>
      <c r="E100" t="s">
        <v>432</v>
      </c>
      <c r="F100">
        <v>201796004</v>
      </c>
      <c r="G100">
        <v>2475639012</v>
      </c>
      <c r="H100">
        <v>32</v>
      </c>
      <c r="I100" t="e">
        <v>#N/A</v>
      </c>
    </row>
    <row r="101" spans="1:10" x14ac:dyDescent="0.35">
      <c r="A101" s="1" t="s">
        <v>433</v>
      </c>
      <c r="B101">
        <v>514</v>
      </c>
      <c r="C101" t="s">
        <v>434</v>
      </c>
      <c r="E101" t="s">
        <v>435</v>
      </c>
      <c r="F101">
        <v>201796004</v>
      </c>
      <c r="G101">
        <v>309821010</v>
      </c>
      <c r="H101">
        <v>32</v>
      </c>
      <c r="I101" t="e">
        <v>#N/A</v>
      </c>
    </row>
    <row r="102" spans="1:10" x14ac:dyDescent="0.35">
      <c r="A102" s="1" t="s">
        <v>436</v>
      </c>
      <c r="B102">
        <v>6</v>
      </c>
      <c r="C102" t="s">
        <v>437</v>
      </c>
      <c r="E102" t="s">
        <v>438</v>
      </c>
      <c r="F102">
        <v>86219005</v>
      </c>
      <c r="G102">
        <v>142976019</v>
      </c>
      <c r="H102">
        <v>32</v>
      </c>
      <c r="I102" t="e">
        <v>#N/A</v>
      </c>
    </row>
    <row r="103" spans="1:10" x14ac:dyDescent="0.35">
      <c r="A103">
        <v>312518013</v>
      </c>
      <c r="B103">
        <v>2143</v>
      </c>
      <c r="C103" t="s">
        <v>8</v>
      </c>
      <c r="D103" t="s">
        <v>9</v>
      </c>
      <c r="E103" t="s">
        <v>10</v>
      </c>
      <c r="F103">
        <v>239791005</v>
      </c>
      <c r="G103">
        <v>359291017</v>
      </c>
      <c r="H103">
        <v>32</v>
      </c>
      <c r="I103">
        <v>1</v>
      </c>
    </row>
    <row r="104" spans="1:10" x14ac:dyDescent="0.35">
      <c r="A104">
        <v>312520011</v>
      </c>
      <c r="B104">
        <v>440</v>
      </c>
      <c r="C104" t="s">
        <v>11</v>
      </c>
      <c r="D104" t="s">
        <v>12</v>
      </c>
      <c r="E104" t="s">
        <v>13</v>
      </c>
      <c r="F104">
        <v>69896004</v>
      </c>
      <c r="G104">
        <v>116082011</v>
      </c>
      <c r="H104">
        <v>32</v>
      </c>
      <c r="I104">
        <v>1</v>
      </c>
    </row>
    <row r="105" spans="1:10" x14ac:dyDescent="0.35">
      <c r="A105">
        <v>312534011</v>
      </c>
      <c r="B105">
        <v>4812</v>
      </c>
      <c r="C105" t="s">
        <v>17</v>
      </c>
      <c r="D105" t="s">
        <v>18</v>
      </c>
      <c r="E105" t="s">
        <v>19</v>
      </c>
      <c r="F105">
        <v>239791005</v>
      </c>
      <c r="G105">
        <v>359291017</v>
      </c>
      <c r="H105">
        <v>32</v>
      </c>
      <c r="I105">
        <v>1</v>
      </c>
    </row>
    <row r="106" spans="1:10" x14ac:dyDescent="0.35">
      <c r="A106">
        <v>1786505011</v>
      </c>
      <c r="B106">
        <v>19</v>
      </c>
      <c r="C106" t="s">
        <v>54</v>
      </c>
      <c r="D106" t="s">
        <v>55</v>
      </c>
      <c r="E106" t="s">
        <v>56</v>
      </c>
      <c r="F106">
        <v>398640008</v>
      </c>
      <c r="G106">
        <v>1786506012</v>
      </c>
      <c r="H106">
        <v>32</v>
      </c>
      <c r="I106">
        <v>1</v>
      </c>
    </row>
    <row r="107" spans="1:10" x14ac:dyDescent="0.35">
      <c r="A107">
        <v>95067016</v>
      </c>
      <c r="B107">
        <v>2936</v>
      </c>
      <c r="C107" t="s">
        <v>80</v>
      </c>
      <c r="D107" t="s">
        <v>81</v>
      </c>
      <c r="E107" t="s">
        <v>82</v>
      </c>
      <c r="F107">
        <v>57160007</v>
      </c>
      <c r="G107">
        <v>95067016</v>
      </c>
      <c r="H107">
        <v>32</v>
      </c>
      <c r="I107">
        <v>1</v>
      </c>
    </row>
    <row r="108" spans="1:10" x14ac:dyDescent="0.35">
      <c r="A108">
        <v>311496011</v>
      </c>
      <c r="B108">
        <v>2241</v>
      </c>
      <c r="C108" t="s">
        <v>83</v>
      </c>
      <c r="D108" t="s">
        <v>84</v>
      </c>
      <c r="E108" t="s">
        <v>85</v>
      </c>
      <c r="F108">
        <v>10713006</v>
      </c>
      <c r="G108">
        <v>311496011</v>
      </c>
      <c r="H108">
        <v>32</v>
      </c>
      <c r="I108">
        <v>1</v>
      </c>
    </row>
    <row r="109" spans="1:10" x14ac:dyDescent="0.35">
      <c r="A109">
        <v>309816012</v>
      </c>
      <c r="B109">
        <v>17382</v>
      </c>
      <c r="C109" t="s">
        <v>86</v>
      </c>
      <c r="D109" t="s">
        <v>87</v>
      </c>
      <c r="E109" t="s">
        <v>88</v>
      </c>
      <c r="F109">
        <v>201791009</v>
      </c>
      <c r="G109">
        <v>309816012</v>
      </c>
      <c r="H109">
        <v>32</v>
      </c>
      <c r="I109">
        <v>1</v>
      </c>
    </row>
    <row r="110" spans="1:10" x14ac:dyDescent="0.35">
      <c r="A110">
        <v>297641010</v>
      </c>
      <c r="B110">
        <v>72</v>
      </c>
      <c r="C110" t="s">
        <v>127</v>
      </c>
      <c r="D110" t="s">
        <v>128</v>
      </c>
      <c r="E110" t="s">
        <v>129</v>
      </c>
      <c r="F110">
        <v>193250002</v>
      </c>
      <c r="G110">
        <v>297641010</v>
      </c>
      <c r="H110">
        <v>32</v>
      </c>
      <c r="I110">
        <v>1</v>
      </c>
    </row>
    <row r="111" spans="1:10" x14ac:dyDescent="0.35">
      <c r="A111">
        <v>297544012</v>
      </c>
      <c r="B111">
        <v>235</v>
      </c>
      <c r="C111" t="s">
        <v>144</v>
      </c>
      <c r="D111" t="s">
        <v>145</v>
      </c>
      <c r="E111" t="s">
        <v>146</v>
      </c>
      <c r="F111">
        <v>193180002</v>
      </c>
      <c r="G111">
        <v>297544012</v>
      </c>
      <c r="H111">
        <v>32</v>
      </c>
      <c r="I111">
        <v>1</v>
      </c>
    </row>
    <row r="112" spans="1:10" x14ac:dyDescent="0.35">
      <c r="A112">
        <v>116082011</v>
      </c>
      <c r="B112">
        <v>3651202</v>
      </c>
      <c r="C112" t="s">
        <v>196</v>
      </c>
      <c r="D112" t="s">
        <v>197</v>
      </c>
      <c r="E112" t="s">
        <v>198</v>
      </c>
      <c r="F112">
        <v>69896004</v>
      </c>
      <c r="G112">
        <v>116082011</v>
      </c>
      <c r="H112">
        <v>32</v>
      </c>
      <c r="I112">
        <v>1</v>
      </c>
    </row>
    <row r="113" spans="1:9" x14ac:dyDescent="0.35">
      <c r="A113">
        <v>426510015</v>
      </c>
      <c r="B113">
        <v>39235</v>
      </c>
      <c r="C113" t="s">
        <v>205</v>
      </c>
      <c r="D113" t="s">
        <v>206</v>
      </c>
      <c r="E113" t="s">
        <v>207</v>
      </c>
      <c r="F113">
        <v>287006005</v>
      </c>
      <c r="G113">
        <v>426510015</v>
      </c>
      <c r="H113">
        <v>32</v>
      </c>
      <c r="I113">
        <v>1</v>
      </c>
    </row>
    <row r="114" spans="1:9" x14ac:dyDescent="0.35">
      <c r="A114">
        <v>168751000006115</v>
      </c>
      <c r="B114">
        <v>40912</v>
      </c>
      <c r="C114" t="s">
        <v>208</v>
      </c>
      <c r="D114" t="s">
        <v>209</v>
      </c>
      <c r="E114" t="s">
        <v>210</v>
      </c>
      <c r="F114">
        <v>69896004</v>
      </c>
      <c r="G114">
        <v>116082011</v>
      </c>
      <c r="H114">
        <v>32</v>
      </c>
      <c r="I114">
        <v>1</v>
      </c>
    </row>
    <row r="115" spans="1:9" x14ac:dyDescent="0.35">
      <c r="A115">
        <v>168761000006118</v>
      </c>
      <c r="B115">
        <v>114</v>
      </c>
      <c r="C115" t="s">
        <v>217</v>
      </c>
      <c r="D115" t="s">
        <v>218</v>
      </c>
      <c r="E115" t="s">
        <v>219</v>
      </c>
      <c r="F115">
        <v>201783000</v>
      </c>
      <c r="G115">
        <v>309807013</v>
      </c>
      <c r="H115">
        <v>32</v>
      </c>
      <c r="I115">
        <v>1</v>
      </c>
    </row>
    <row r="116" spans="1:9" x14ac:dyDescent="0.35">
      <c r="A116">
        <v>309791014</v>
      </c>
      <c r="B116">
        <v>107</v>
      </c>
      <c r="C116" t="s">
        <v>220</v>
      </c>
      <c r="D116" t="s">
        <v>221</v>
      </c>
      <c r="E116" t="s">
        <v>222</v>
      </c>
      <c r="F116">
        <v>201768005</v>
      </c>
      <c r="G116">
        <v>309791014</v>
      </c>
      <c r="H116">
        <v>32</v>
      </c>
      <c r="I116">
        <v>1</v>
      </c>
    </row>
    <row r="117" spans="1:9" x14ac:dyDescent="0.35">
      <c r="A117">
        <v>309802019</v>
      </c>
      <c r="B117">
        <v>575</v>
      </c>
      <c r="C117" t="s">
        <v>223</v>
      </c>
      <c r="D117" t="s">
        <v>224</v>
      </c>
      <c r="E117" t="s">
        <v>225</v>
      </c>
      <c r="F117">
        <v>201779000</v>
      </c>
      <c r="G117">
        <v>309802019</v>
      </c>
      <c r="H117">
        <v>32</v>
      </c>
      <c r="I117">
        <v>1</v>
      </c>
    </row>
    <row r="118" spans="1:9" x14ac:dyDescent="0.35">
      <c r="A118">
        <v>309787016</v>
      </c>
      <c r="B118">
        <v>589</v>
      </c>
      <c r="C118" t="s">
        <v>235</v>
      </c>
      <c r="D118" t="s">
        <v>236</v>
      </c>
      <c r="E118" t="s">
        <v>237</v>
      </c>
      <c r="F118">
        <v>201764007</v>
      </c>
      <c r="G118">
        <v>309787016</v>
      </c>
      <c r="H118">
        <v>32</v>
      </c>
      <c r="I118">
        <v>1</v>
      </c>
    </row>
    <row r="119" spans="1:9" x14ac:dyDescent="0.35">
      <c r="A119">
        <v>162041000006117</v>
      </c>
      <c r="B119">
        <v>133</v>
      </c>
      <c r="C119" t="s">
        <v>238</v>
      </c>
      <c r="D119" t="s">
        <v>239</v>
      </c>
      <c r="E119" t="s">
        <v>240</v>
      </c>
      <c r="F119">
        <v>201774005</v>
      </c>
      <c r="G119">
        <v>309797013</v>
      </c>
      <c r="H119">
        <v>32</v>
      </c>
      <c r="I119">
        <v>1</v>
      </c>
    </row>
    <row r="120" spans="1:9" x14ac:dyDescent="0.35">
      <c r="A120">
        <v>162051000006115</v>
      </c>
      <c r="B120">
        <v>34</v>
      </c>
      <c r="C120" t="s">
        <v>244</v>
      </c>
      <c r="D120" t="s">
        <v>245</v>
      </c>
      <c r="E120" t="s">
        <v>246</v>
      </c>
      <c r="F120">
        <v>201770001</v>
      </c>
      <c r="G120">
        <v>309793012</v>
      </c>
      <c r="H120">
        <v>32</v>
      </c>
      <c r="I120">
        <v>1</v>
      </c>
    </row>
    <row r="121" spans="1:9" x14ac:dyDescent="0.35">
      <c r="A121">
        <v>309792019</v>
      </c>
      <c r="B121">
        <v>597</v>
      </c>
      <c r="C121" t="s">
        <v>247</v>
      </c>
      <c r="D121" t="s">
        <v>248</v>
      </c>
      <c r="E121" t="s">
        <v>249</v>
      </c>
      <c r="F121">
        <v>201769002</v>
      </c>
      <c r="G121">
        <v>309792019</v>
      </c>
      <c r="H121">
        <v>32</v>
      </c>
      <c r="I121">
        <v>1</v>
      </c>
    </row>
    <row r="122" spans="1:9" x14ac:dyDescent="0.35">
      <c r="A122">
        <v>309798015</v>
      </c>
      <c r="B122">
        <v>465</v>
      </c>
      <c r="C122" t="s">
        <v>259</v>
      </c>
      <c r="D122" t="s">
        <v>260</v>
      </c>
      <c r="E122" t="s">
        <v>261</v>
      </c>
      <c r="F122">
        <v>201775006</v>
      </c>
      <c r="G122">
        <v>309798015</v>
      </c>
      <c r="H122">
        <v>32</v>
      </c>
      <c r="I122">
        <v>1</v>
      </c>
    </row>
    <row r="123" spans="1:9" x14ac:dyDescent="0.35">
      <c r="A123">
        <v>309800010</v>
      </c>
      <c r="B123">
        <v>3163</v>
      </c>
      <c r="C123" t="s">
        <v>268</v>
      </c>
      <c r="D123" t="s">
        <v>269</v>
      </c>
      <c r="E123" t="s">
        <v>270</v>
      </c>
      <c r="F123">
        <v>201777003</v>
      </c>
      <c r="G123">
        <v>309800010</v>
      </c>
      <c r="H123">
        <v>32</v>
      </c>
      <c r="I123">
        <v>1</v>
      </c>
    </row>
    <row r="124" spans="1:9" x14ac:dyDescent="0.35">
      <c r="A124">
        <v>162101000006115</v>
      </c>
      <c r="B124">
        <v>56</v>
      </c>
      <c r="C124" t="s">
        <v>293</v>
      </c>
      <c r="D124" t="s">
        <v>294</v>
      </c>
      <c r="E124" t="s">
        <v>295</v>
      </c>
      <c r="F124">
        <v>201784006</v>
      </c>
      <c r="G124">
        <v>309808015</v>
      </c>
      <c r="H124">
        <v>32</v>
      </c>
      <c r="I124">
        <v>1</v>
      </c>
    </row>
    <row r="125" spans="1:9" x14ac:dyDescent="0.35">
      <c r="A125">
        <v>162111000006117</v>
      </c>
      <c r="B125">
        <v>1092</v>
      </c>
      <c r="C125" t="s">
        <v>296</v>
      </c>
      <c r="D125" t="s">
        <v>297</v>
      </c>
      <c r="E125" t="s">
        <v>298</v>
      </c>
      <c r="F125">
        <v>201772009</v>
      </c>
      <c r="G125">
        <v>309795017</v>
      </c>
      <c r="H125">
        <v>32</v>
      </c>
      <c r="I125">
        <v>1</v>
      </c>
    </row>
    <row r="126" spans="1:9" x14ac:dyDescent="0.35">
      <c r="A126">
        <v>309805017</v>
      </c>
      <c r="B126">
        <v>51</v>
      </c>
      <c r="C126" t="s">
        <v>302</v>
      </c>
      <c r="D126" t="s">
        <v>303</v>
      </c>
      <c r="E126" t="s">
        <v>304</v>
      </c>
      <c r="F126">
        <v>429192004</v>
      </c>
      <c r="G126">
        <v>2696026017</v>
      </c>
      <c r="H126">
        <v>32</v>
      </c>
      <c r="I126">
        <v>1</v>
      </c>
    </row>
    <row r="127" spans="1:9" x14ac:dyDescent="0.35">
      <c r="A127">
        <v>162131000006111</v>
      </c>
      <c r="B127">
        <v>565</v>
      </c>
      <c r="C127" t="s">
        <v>305</v>
      </c>
      <c r="D127" t="s">
        <v>306</v>
      </c>
      <c r="E127" t="s">
        <v>307</v>
      </c>
      <c r="F127">
        <v>201773004</v>
      </c>
      <c r="G127">
        <v>309796016</v>
      </c>
      <c r="H127">
        <v>32</v>
      </c>
      <c r="I127">
        <v>1</v>
      </c>
    </row>
    <row r="128" spans="1:9" x14ac:dyDescent="0.35">
      <c r="A128">
        <v>162141000006118</v>
      </c>
      <c r="B128">
        <v>112</v>
      </c>
      <c r="C128" t="s">
        <v>330</v>
      </c>
      <c r="D128" t="s">
        <v>331</v>
      </c>
      <c r="E128" t="s">
        <v>332</v>
      </c>
      <c r="F128">
        <v>201776007</v>
      </c>
      <c r="G128">
        <v>309799011</v>
      </c>
      <c r="H128">
        <v>32</v>
      </c>
      <c r="I128">
        <v>1</v>
      </c>
    </row>
    <row r="129" spans="1:9" x14ac:dyDescent="0.35">
      <c r="A129">
        <v>309789018</v>
      </c>
      <c r="B129">
        <v>912</v>
      </c>
      <c r="C129" t="s">
        <v>333</v>
      </c>
      <c r="D129" t="s">
        <v>334</v>
      </c>
      <c r="E129" t="s">
        <v>335</v>
      </c>
      <c r="F129">
        <v>201766009</v>
      </c>
      <c r="G129">
        <v>309789018</v>
      </c>
      <c r="H129">
        <v>32</v>
      </c>
      <c r="I129">
        <v>1</v>
      </c>
    </row>
    <row r="130" spans="1:9" x14ac:dyDescent="0.35">
      <c r="A130">
        <v>309788014</v>
      </c>
      <c r="B130">
        <v>175</v>
      </c>
      <c r="C130" t="s">
        <v>336</v>
      </c>
      <c r="D130" t="s">
        <v>337</v>
      </c>
      <c r="E130" t="s">
        <v>338</v>
      </c>
      <c r="F130">
        <v>9631008</v>
      </c>
      <c r="G130">
        <v>16840014</v>
      </c>
      <c r="H130">
        <v>32</v>
      </c>
      <c r="I130">
        <v>1</v>
      </c>
    </row>
    <row r="131" spans="1:9" x14ac:dyDescent="0.35">
      <c r="A131">
        <v>309803012</v>
      </c>
      <c r="B131">
        <v>203</v>
      </c>
      <c r="C131" t="s">
        <v>342</v>
      </c>
      <c r="D131" t="s">
        <v>343</v>
      </c>
      <c r="E131" t="s">
        <v>344</v>
      </c>
      <c r="F131">
        <v>201780002</v>
      </c>
      <c r="G131">
        <v>309803012</v>
      </c>
      <c r="H131">
        <v>32</v>
      </c>
      <c r="I131">
        <v>1</v>
      </c>
    </row>
    <row r="132" spans="1:9" x14ac:dyDescent="0.35">
      <c r="A132">
        <v>309804018</v>
      </c>
      <c r="B132">
        <v>220</v>
      </c>
      <c r="C132" t="s">
        <v>345</v>
      </c>
      <c r="D132" t="s">
        <v>346</v>
      </c>
      <c r="E132" t="s">
        <v>347</v>
      </c>
      <c r="F132">
        <v>201781003</v>
      </c>
      <c r="G132">
        <v>309804018</v>
      </c>
      <c r="H132">
        <v>32</v>
      </c>
      <c r="I132">
        <v>1</v>
      </c>
    </row>
    <row r="133" spans="1:9" x14ac:dyDescent="0.35">
      <c r="A133">
        <v>309794018</v>
      </c>
      <c r="B133">
        <v>2768</v>
      </c>
      <c r="C133" t="s">
        <v>357</v>
      </c>
      <c r="D133" t="s">
        <v>358</v>
      </c>
      <c r="E133" t="s">
        <v>359</v>
      </c>
      <c r="F133">
        <v>201771002</v>
      </c>
      <c r="G133">
        <v>309794018</v>
      </c>
      <c r="H133">
        <v>32</v>
      </c>
      <c r="I133">
        <v>1</v>
      </c>
    </row>
    <row r="134" spans="1:9" x14ac:dyDescent="0.35">
      <c r="A134">
        <v>16911000006114</v>
      </c>
      <c r="B134">
        <v>245</v>
      </c>
      <c r="C134" t="s">
        <v>363</v>
      </c>
      <c r="D134" t="s">
        <v>364</v>
      </c>
      <c r="E134" t="s">
        <v>365</v>
      </c>
      <c r="F134">
        <v>239793008</v>
      </c>
      <c r="G134">
        <v>359293019</v>
      </c>
      <c r="H134">
        <v>32</v>
      </c>
      <c r="I134">
        <v>1</v>
      </c>
    </row>
    <row r="135" spans="1:9" x14ac:dyDescent="0.35">
      <c r="A135">
        <v>162231000006117</v>
      </c>
      <c r="B135">
        <v>1439</v>
      </c>
      <c r="C135" t="s">
        <v>368</v>
      </c>
      <c r="D135" t="s">
        <v>369</v>
      </c>
      <c r="E135" t="s">
        <v>370</v>
      </c>
      <c r="F135">
        <v>239793008</v>
      </c>
      <c r="G135">
        <v>359293019</v>
      </c>
      <c r="H135">
        <v>32</v>
      </c>
      <c r="I135">
        <v>1</v>
      </c>
    </row>
    <row r="136" spans="1:9" x14ac:dyDescent="0.35">
      <c r="A136">
        <v>162301000006117</v>
      </c>
      <c r="B136">
        <v>1187</v>
      </c>
      <c r="C136" t="s">
        <v>374</v>
      </c>
      <c r="D136" t="s">
        <v>375</v>
      </c>
      <c r="E136" t="s">
        <v>376</v>
      </c>
      <c r="F136">
        <v>398726004</v>
      </c>
      <c r="G136">
        <v>1786545019</v>
      </c>
      <c r="H136">
        <v>32</v>
      </c>
      <c r="I136">
        <v>1</v>
      </c>
    </row>
    <row r="137" spans="1:9" x14ac:dyDescent="0.35">
      <c r="A137">
        <v>1786545019</v>
      </c>
      <c r="B137">
        <v>442</v>
      </c>
      <c r="C137" t="s">
        <v>377</v>
      </c>
      <c r="D137" t="s">
        <v>378</v>
      </c>
      <c r="E137" t="s">
        <v>376</v>
      </c>
      <c r="F137">
        <v>398726004</v>
      </c>
      <c r="G137">
        <v>1786545019</v>
      </c>
      <c r="H137">
        <v>32</v>
      </c>
      <c r="I137">
        <v>1</v>
      </c>
    </row>
    <row r="138" spans="1:9" x14ac:dyDescent="0.35">
      <c r="A138">
        <v>1778239014</v>
      </c>
      <c r="B138">
        <v>1155</v>
      </c>
      <c r="C138" t="s">
        <v>379</v>
      </c>
      <c r="D138" t="s">
        <v>380</v>
      </c>
      <c r="E138" t="s">
        <v>381</v>
      </c>
      <c r="F138">
        <v>398726004</v>
      </c>
      <c r="G138">
        <v>1778239014</v>
      </c>
      <c r="H138">
        <v>32</v>
      </c>
      <c r="I138">
        <v>1</v>
      </c>
    </row>
    <row r="139" spans="1:9" x14ac:dyDescent="0.35">
      <c r="A139">
        <v>162341000006115</v>
      </c>
      <c r="B139">
        <v>5183</v>
      </c>
      <c r="C139" t="s">
        <v>385</v>
      </c>
      <c r="D139" t="s">
        <v>386</v>
      </c>
      <c r="E139" t="s">
        <v>387</v>
      </c>
      <c r="F139">
        <v>33719002</v>
      </c>
      <c r="G139">
        <v>485614018</v>
      </c>
      <c r="H139">
        <v>32</v>
      </c>
      <c r="I139">
        <v>1</v>
      </c>
    </row>
    <row r="140" spans="1:9" x14ac:dyDescent="0.35">
      <c r="A140">
        <v>485614018</v>
      </c>
      <c r="B140">
        <v>3375</v>
      </c>
      <c r="C140" t="s">
        <v>388</v>
      </c>
      <c r="D140" t="s">
        <v>389</v>
      </c>
      <c r="E140" t="s">
        <v>387</v>
      </c>
      <c r="F140">
        <v>33719002</v>
      </c>
      <c r="G140">
        <v>485614018</v>
      </c>
      <c r="H140">
        <v>32</v>
      </c>
      <c r="I140">
        <v>1</v>
      </c>
    </row>
    <row r="141" spans="1:9" x14ac:dyDescent="0.35">
      <c r="A141">
        <v>1779323014</v>
      </c>
      <c r="B141">
        <v>2322</v>
      </c>
      <c r="C141" t="s">
        <v>393</v>
      </c>
      <c r="D141" t="s">
        <v>394</v>
      </c>
      <c r="E141" t="s">
        <v>395</v>
      </c>
      <c r="F141">
        <v>400054000</v>
      </c>
      <c r="G141">
        <v>1779323014</v>
      </c>
      <c r="H141">
        <v>32</v>
      </c>
      <c r="I141">
        <v>1</v>
      </c>
    </row>
    <row r="142" spans="1:9" x14ac:dyDescent="0.35">
      <c r="A142">
        <v>359292012</v>
      </c>
      <c r="B142">
        <v>250783</v>
      </c>
      <c r="C142" t="s">
        <v>402</v>
      </c>
      <c r="D142" t="s">
        <v>403</v>
      </c>
      <c r="E142" t="s">
        <v>404</v>
      </c>
      <c r="F142">
        <v>239792003</v>
      </c>
      <c r="G142">
        <v>359292012</v>
      </c>
      <c r="H142">
        <v>32</v>
      </c>
      <c r="I142">
        <v>1</v>
      </c>
    </row>
    <row r="143" spans="1:9" x14ac:dyDescent="0.35">
      <c r="A143">
        <v>451461014</v>
      </c>
      <c r="B143">
        <v>22917</v>
      </c>
      <c r="C143" t="s">
        <v>411</v>
      </c>
      <c r="D143" t="s">
        <v>412</v>
      </c>
      <c r="E143" t="s">
        <v>413</v>
      </c>
      <c r="F143">
        <v>308143008</v>
      </c>
      <c r="G143">
        <v>3517964017</v>
      </c>
      <c r="H143">
        <v>32</v>
      </c>
      <c r="I143">
        <v>1</v>
      </c>
    </row>
    <row r="144" spans="1:9" x14ac:dyDescent="0.35">
      <c r="A144">
        <v>149911000006117</v>
      </c>
      <c r="B144">
        <v>187249</v>
      </c>
      <c r="C144" t="s">
        <v>414</v>
      </c>
      <c r="D144" t="s">
        <v>415</v>
      </c>
      <c r="E144" t="s">
        <v>416</v>
      </c>
      <c r="F144">
        <v>239791005</v>
      </c>
      <c r="G144">
        <v>359291017</v>
      </c>
      <c r="H144">
        <v>32</v>
      </c>
      <c r="I144">
        <v>1</v>
      </c>
    </row>
  </sheetData>
  <sortState xmlns:xlrd2="http://schemas.microsoft.com/office/spreadsheetml/2017/richdata2" ref="A2:I144">
    <sortCondition descending="1" ref="I1:I1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FC74-C33F-40AD-B0DB-4DE516765A38}">
  <dimension ref="A1:D144"/>
  <sheetViews>
    <sheetView workbookViewId="0">
      <selection activeCell="D1" sqref="D1:D1048576"/>
    </sheetView>
  </sheetViews>
  <sheetFormatPr defaultRowHeight="14.5" x14ac:dyDescent="0.35"/>
  <sheetData>
    <row r="1" spans="1:4" x14ac:dyDescent="0.35">
      <c r="A1" t="s">
        <v>0</v>
      </c>
      <c r="C1" t="s">
        <v>0</v>
      </c>
    </row>
    <row r="2" spans="1:4" x14ac:dyDescent="0.35">
      <c r="A2">
        <v>312518013</v>
      </c>
      <c r="B2">
        <v>1</v>
      </c>
      <c r="C2">
        <v>312518013</v>
      </c>
      <c r="D2">
        <f>VLOOKUP(C2,$A:$B,2,0)</f>
        <v>1</v>
      </c>
    </row>
    <row r="3" spans="1:4" x14ac:dyDescent="0.35">
      <c r="A3">
        <v>312520011</v>
      </c>
      <c r="B3">
        <v>1</v>
      </c>
      <c r="C3">
        <v>312520011</v>
      </c>
      <c r="D3">
        <f t="shared" ref="D3:D66" si="0">VLOOKUP(C3,$A:$B,2,0)</f>
        <v>1</v>
      </c>
    </row>
    <row r="4" spans="1:4" x14ac:dyDescent="0.35">
      <c r="A4">
        <v>312534011</v>
      </c>
      <c r="B4">
        <v>1</v>
      </c>
      <c r="C4">
        <v>424981000006114</v>
      </c>
      <c r="D4" t="e">
        <f t="shared" si="0"/>
        <v>#N/A</v>
      </c>
    </row>
    <row r="5" spans="1:4" x14ac:dyDescent="0.35">
      <c r="A5">
        <v>1786505011</v>
      </c>
      <c r="B5">
        <v>1</v>
      </c>
      <c r="C5">
        <v>312534011</v>
      </c>
      <c r="D5">
        <f t="shared" si="0"/>
        <v>1</v>
      </c>
    </row>
    <row r="6" spans="1:4" x14ac:dyDescent="0.35">
      <c r="A6">
        <v>95067016</v>
      </c>
      <c r="B6">
        <v>1</v>
      </c>
      <c r="C6">
        <v>125937016</v>
      </c>
      <c r="D6" t="e">
        <f t="shared" si="0"/>
        <v>#N/A</v>
      </c>
    </row>
    <row r="7" spans="1:4" x14ac:dyDescent="0.35">
      <c r="A7">
        <v>311496011</v>
      </c>
      <c r="B7">
        <v>1</v>
      </c>
      <c r="C7" s="2">
        <v>5141321000006110</v>
      </c>
      <c r="D7" t="e">
        <f t="shared" si="0"/>
        <v>#N/A</v>
      </c>
    </row>
    <row r="8" spans="1:4" x14ac:dyDescent="0.35">
      <c r="A8">
        <v>309816012</v>
      </c>
      <c r="B8">
        <v>1</v>
      </c>
      <c r="C8">
        <v>463281000006113</v>
      </c>
      <c r="D8" t="e">
        <f t="shared" si="0"/>
        <v>#N/A</v>
      </c>
    </row>
    <row r="9" spans="1:4" x14ac:dyDescent="0.35">
      <c r="A9">
        <v>297641010</v>
      </c>
      <c r="B9">
        <v>1</v>
      </c>
      <c r="C9">
        <v>463301000006112</v>
      </c>
      <c r="D9" t="e">
        <f t="shared" si="0"/>
        <v>#N/A</v>
      </c>
    </row>
    <row r="10" spans="1:4" x14ac:dyDescent="0.35">
      <c r="A10">
        <v>297544012</v>
      </c>
      <c r="B10">
        <v>1</v>
      </c>
      <c r="C10">
        <v>16833013</v>
      </c>
      <c r="D10" t="e">
        <f t="shared" si="0"/>
        <v>#N/A</v>
      </c>
    </row>
    <row r="11" spans="1:4" x14ac:dyDescent="0.35">
      <c r="A11">
        <v>116082011</v>
      </c>
      <c r="B11">
        <v>1</v>
      </c>
      <c r="C11" s="2">
        <v>2653431000006110</v>
      </c>
      <c r="D11" t="e">
        <f t="shared" si="0"/>
        <v>#N/A</v>
      </c>
    </row>
    <row r="12" spans="1:4" x14ac:dyDescent="0.35">
      <c r="A12">
        <v>426510015</v>
      </c>
      <c r="B12">
        <v>1</v>
      </c>
      <c r="C12" s="2">
        <v>1.40110410000061E+16</v>
      </c>
      <c r="D12" t="e">
        <f t="shared" si="0"/>
        <v>#N/A</v>
      </c>
    </row>
    <row r="13" spans="1:4" x14ac:dyDescent="0.35">
      <c r="A13">
        <v>168751000006115</v>
      </c>
      <c r="B13">
        <v>1</v>
      </c>
      <c r="C13" s="2">
        <v>1.37095110000061E+16</v>
      </c>
      <c r="D13" t="e">
        <f t="shared" si="0"/>
        <v>#N/A</v>
      </c>
    </row>
    <row r="14" spans="1:4" x14ac:dyDescent="0.35">
      <c r="A14">
        <v>168761000006118</v>
      </c>
      <c r="B14">
        <v>1</v>
      </c>
      <c r="C14" s="2">
        <v>1.37095710000061E+16</v>
      </c>
      <c r="D14" t="e">
        <f t="shared" si="0"/>
        <v>#N/A</v>
      </c>
    </row>
    <row r="15" spans="1:4" x14ac:dyDescent="0.35">
      <c r="A15">
        <v>309791014</v>
      </c>
      <c r="B15">
        <v>1</v>
      </c>
      <c r="C15" s="2">
        <v>1.37095410000061E+16</v>
      </c>
      <c r="D15" t="e">
        <f t="shared" si="0"/>
        <v>#N/A</v>
      </c>
    </row>
    <row r="16" spans="1:4" x14ac:dyDescent="0.35">
      <c r="A16">
        <v>309802019</v>
      </c>
      <c r="B16">
        <v>1</v>
      </c>
      <c r="C16">
        <v>1786505011</v>
      </c>
      <c r="D16">
        <f t="shared" si="0"/>
        <v>1</v>
      </c>
    </row>
    <row r="17" spans="1:4" x14ac:dyDescent="0.35">
      <c r="A17">
        <v>309787016</v>
      </c>
      <c r="B17">
        <v>1</v>
      </c>
      <c r="C17" s="2">
        <v>2530001000006110</v>
      </c>
      <c r="D17" t="e">
        <f t="shared" si="0"/>
        <v>#N/A</v>
      </c>
    </row>
    <row r="18" spans="1:4" x14ac:dyDescent="0.35">
      <c r="A18">
        <v>162041000006117</v>
      </c>
      <c r="B18">
        <v>1</v>
      </c>
      <c r="C18">
        <v>3527061011</v>
      </c>
      <c r="D18" t="e">
        <f t="shared" si="0"/>
        <v>#N/A</v>
      </c>
    </row>
    <row r="19" spans="1:4" x14ac:dyDescent="0.35">
      <c r="A19">
        <v>162051000006115</v>
      </c>
      <c r="B19">
        <v>1</v>
      </c>
      <c r="C19">
        <v>3527712017</v>
      </c>
      <c r="D19" t="e">
        <f t="shared" si="0"/>
        <v>#N/A</v>
      </c>
    </row>
    <row r="20" spans="1:4" x14ac:dyDescent="0.35">
      <c r="A20">
        <v>309792019</v>
      </c>
      <c r="B20">
        <v>1</v>
      </c>
      <c r="C20">
        <v>3527731011</v>
      </c>
      <c r="D20" t="e">
        <f t="shared" si="0"/>
        <v>#N/A</v>
      </c>
    </row>
    <row r="21" spans="1:4" x14ac:dyDescent="0.35">
      <c r="A21">
        <v>309798015</v>
      </c>
      <c r="B21">
        <v>1</v>
      </c>
      <c r="C21">
        <v>3527737010</v>
      </c>
      <c r="D21" t="e">
        <f t="shared" si="0"/>
        <v>#N/A</v>
      </c>
    </row>
    <row r="22" spans="1:4" x14ac:dyDescent="0.35">
      <c r="A22">
        <v>309800010</v>
      </c>
      <c r="B22">
        <v>1</v>
      </c>
      <c r="C22" s="2">
        <v>2670341000006110</v>
      </c>
      <c r="D22" t="e">
        <f t="shared" si="0"/>
        <v>#N/A</v>
      </c>
    </row>
    <row r="23" spans="1:4" x14ac:dyDescent="0.35">
      <c r="A23">
        <v>162101000006115</v>
      </c>
      <c r="B23">
        <v>1</v>
      </c>
      <c r="C23">
        <v>3514955016</v>
      </c>
      <c r="D23" t="e">
        <f t="shared" si="0"/>
        <v>#N/A</v>
      </c>
    </row>
    <row r="24" spans="1:4" x14ac:dyDescent="0.35">
      <c r="A24">
        <v>162111000006117</v>
      </c>
      <c r="B24">
        <v>1</v>
      </c>
      <c r="C24" s="2">
        <v>3428911000006110</v>
      </c>
      <c r="D24" t="e">
        <f t="shared" si="0"/>
        <v>#N/A</v>
      </c>
    </row>
    <row r="25" spans="1:4" x14ac:dyDescent="0.35">
      <c r="A25">
        <v>309805017</v>
      </c>
      <c r="B25">
        <v>1</v>
      </c>
      <c r="C25">
        <v>95067016</v>
      </c>
      <c r="D25">
        <f t="shared" si="0"/>
        <v>1</v>
      </c>
    </row>
    <row r="26" spans="1:4" x14ac:dyDescent="0.35">
      <c r="A26">
        <v>162131000006111</v>
      </c>
      <c r="B26">
        <v>1</v>
      </c>
      <c r="C26">
        <v>311496011</v>
      </c>
      <c r="D26">
        <f t="shared" si="0"/>
        <v>1</v>
      </c>
    </row>
    <row r="27" spans="1:4" x14ac:dyDescent="0.35">
      <c r="A27">
        <v>162141000006118</v>
      </c>
      <c r="B27">
        <v>1</v>
      </c>
      <c r="C27">
        <v>309816012</v>
      </c>
      <c r="D27">
        <f t="shared" si="0"/>
        <v>1</v>
      </c>
    </row>
    <row r="28" spans="1:4" x14ac:dyDescent="0.35">
      <c r="A28">
        <v>309789018</v>
      </c>
      <c r="B28">
        <v>1</v>
      </c>
      <c r="C28" s="2">
        <v>1.45073210000061E+16</v>
      </c>
      <c r="D28" t="e">
        <f t="shared" si="0"/>
        <v>#N/A</v>
      </c>
    </row>
    <row r="29" spans="1:4" x14ac:dyDescent="0.35">
      <c r="A29">
        <v>309788014</v>
      </c>
      <c r="B29">
        <v>1</v>
      </c>
      <c r="C29" s="2">
        <v>4809291000006110</v>
      </c>
      <c r="D29" t="e">
        <f t="shared" si="0"/>
        <v>#N/A</v>
      </c>
    </row>
    <row r="30" spans="1:4" x14ac:dyDescent="0.35">
      <c r="A30">
        <v>309803012</v>
      </c>
      <c r="B30">
        <v>1</v>
      </c>
      <c r="C30" s="2">
        <v>6798411000006110</v>
      </c>
      <c r="D30" t="e">
        <f t="shared" si="0"/>
        <v>#N/A</v>
      </c>
    </row>
    <row r="31" spans="1:4" x14ac:dyDescent="0.35">
      <c r="A31">
        <v>309804018</v>
      </c>
      <c r="B31">
        <v>1</v>
      </c>
      <c r="C31" s="2">
        <v>4809321000006110</v>
      </c>
      <c r="D31" t="e">
        <f t="shared" si="0"/>
        <v>#N/A</v>
      </c>
    </row>
    <row r="32" spans="1:4" x14ac:dyDescent="0.35">
      <c r="A32">
        <v>309794018</v>
      </c>
      <c r="B32">
        <v>1</v>
      </c>
      <c r="C32">
        <v>2472447010</v>
      </c>
      <c r="D32" t="e">
        <f t="shared" si="0"/>
        <v>#N/A</v>
      </c>
    </row>
    <row r="33" spans="1:4" x14ac:dyDescent="0.35">
      <c r="A33">
        <v>16911000006114</v>
      </c>
      <c r="B33">
        <v>1</v>
      </c>
      <c r="C33" s="2">
        <v>1.46668710000061E+16</v>
      </c>
      <c r="D33" t="e">
        <f t="shared" si="0"/>
        <v>#N/A</v>
      </c>
    </row>
    <row r="34" spans="1:4" x14ac:dyDescent="0.35">
      <c r="A34">
        <v>162231000006117</v>
      </c>
      <c r="B34">
        <v>1</v>
      </c>
      <c r="C34">
        <v>755441000006119</v>
      </c>
      <c r="D34" t="e">
        <f t="shared" si="0"/>
        <v>#N/A</v>
      </c>
    </row>
    <row r="35" spans="1:4" x14ac:dyDescent="0.35">
      <c r="A35">
        <v>48361011</v>
      </c>
      <c r="B35">
        <v>1</v>
      </c>
      <c r="C35">
        <v>309828016</v>
      </c>
      <c r="D35" t="e">
        <f t="shared" si="0"/>
        <v>#N/A</v>
      </c>
    </row>
    <row r="36" spans="1:4" x14ac:dyDescent="0.35">
      <c r="A36">
        <v>162301000006117</v>
      </c>
      <c r="B36">
        <v>1</v>
      </c>
      <c r="C36" s="2">
        <v>6802621000006110</v>
      </c>
      <c r="D36" t="e">
        <f t="shared" si="0"/>
        <v>#N/A</v>
      </c>
    </row>
    <row r="37" spans="1:4" x14ac:dyDescent="0.35">
      <c r="A37">
        <v>1786545019</v>
      </c>
      <c r="B37">
        <v>1</v>
      </c>
      <c r="C37" s="2">
        <v>6802591000006110</v>
      </c>
      <c r="D37" t="e">
        <f t="shared" si="0"/>
        <v>#N/A</v>
      </c>
    </row>
    <row r="38" spans="1:4" x14ac:dyDescent="0.35">
      <c r="A38">
        <v>1778239014</v>
      </c>
      <c r="B38">
        <v>1</v>
      </c>
      <c r="C38">
        <v>718001000006112</v>
      </c>
      <c r="D38" t="e">
        <f t="shared" si="0"/>
        <v>#N/A</v>
      </c>
    </row>
    <row r="39" spans="1:4" x14ac:dyDescent="0.35">
      <c r="A39">
        <v>300221014</v>
      </c>
      <c r="B39">
        <v>1</v>
      </c>
      <c r="C39">
        <v>309827014</v>
      </c>
      <c r="D39" t="e">
        <f t="shared" si="0"/>
        <v>#N/A</v>
      </c>
    </row>
    <row r="40" spans="1:4" x14ac:dyDescent="0.35">
      <c r="A40">
        <v>162341000006115</v>
      </c>
      <c r="B40">
        <v>1</v>
      </c>
      <c r="C40" s="2">
        <v>4809341000006110</v>
      </c>
      <c r="D40" t="e">
        <f t="shared" si="0"/>
        <v>#N/A</v>
      </c>
    </row>
    <row r="41" spans="1:4" x14ac:dyDescent="0.35">
      <c r="A41">
        <v>485614018</v>
      </c>
      <c r="B41">
        <v>1</v>
      </c>
      <c r="C41">
        <v>297641010</v>
      </c>
      <c r="D41">
        <f t="shared" si="0"/>
        <v>1</v>
      </c>
    </row>
    <row r="42" spans="1:4" x14ac:dyDescent="0.35">
      <c r="A42">
        <v>1779323014</v>
      </c>
      <c r="B42">
        <v>1</v>
      </c>
      <c r="C42" s="2">
        <v>5141691000006110</v>
      </c>
      <c r="D42" t="e">
        <f t="shared" si="0"/>
        <v>#N/A</v>
      </c>
    </row>
    <row r="43" spans="1:4" x14ac:dyDescent="0.35">
      <c r="A43">
        <v>359292012</v>
      </c>
      <c r="B43">
        <v>1</v>
      </c>
      <c r="C43">
        <v>123542016</v>
      </c>
      <c r="D43" t="e">
        <f t="shared" si="0"/>
        <v>#N/A</v>
      </c>
    </row>
    <row r="44" spans="1:4" x14ac:dyDescent="0.35">
      <c r="A44">
        <v>451461014</v>
      </c>
      <c r="B44">
        <v>1</v>
      </c>
      <c r="C44" s="2">
        <v>3709251000006110</v>
      </c>
      <c r="D44" t="e">
        <f t="shared" si="0"/>
        <v>#N/A</v>
      </c>
    </row>
    <row r="45" spans="1:4" x14ac:dyDescent="0.35">
      <c r="A45">
        <v>149911000006117</v>
      </c>
      <c r="B45">
        <v>1</v>
      </c>
      <c r="C45" s="2">
        <v>3709271000006110</v>
      </c>
      <c r="D45" t="e">
        <f t="shared" si="0"/>
        <v>#N/A</v>
      </c>
    </row>
    <row r="46" spans="1:4" x14ac:dyDescent="0.35">
      <c r="C46">
        <v>502690012</v>
      </c>
      <c r="D46" t="e">
        <f t="shared" si="0"/>
        <v>#N/A</v>
      </c>
    </row>
    <row r="47" spans="1:4" x14ac:dyDescent="0.35">
      <c r="C47">
        <v>297544012</v>
      </c>
      <c r="D47">
        <f t="shared" si="0"/>
        <v>1</v>
      </c>
    </row>
    <row r="48" spans="1:4" x14ac:dyDescent="0.35">
      <c r="C48" s="2">
        <v>3636571000006110</v>
      </c>
      <c r="D48" t="e">
        <f t="shared" si="0"/>
        <v>#N/A</v>
      </c>
    </row>
    <row r="49" spans="3:4" x14ac:dyDescent="0.35">
      <c r="C49" s="2">
        <v>3636541000006110</v>
      </c>
      <c r="D49" t="e">
        <f t="shared" si="0"/>
        <v>#N/A</v>
      </c>
    </row>
    <row r="50" spans="3:4" x14ac:dyDescent="0.35">
      <c r="C50" s="2">
        <v>3636561000006110</v>
      </c>
      <c r="D50" t="e">
        <f t="shared" si="0"/>
        <v>#N/A</v>
      </c>
    </row>
    <row r="51" spans="3:4" x14ac:dyDescent="0.35">
      <c r="C51">
        <v>889751000006116</v>
      </c>
      <c r="D51" t="e">
        <f t="shared" si="0"/>
        <v>#N/A</v>
      </c>
    </row>
    <row r="52" spans="3:4" x14ac:dyDescent="0.35">
      <c r="C52">
        <v>989331000006117</v>
      </c>
      <c r="D52" t="e">
        <f t="shared" si="0"/>
        <v>#N/A</v>
      </c>
    </row>
    <row r="53" spans="3:4" x14ac:dyDescent="0.35">
      <c r="C53">
        <v>889801000006111</v>
      </c>
      <c r="D53" t="e">
        <f t="shared" si="0"/>
        <v>#N/A</v>
      </c>
    </row>
    <row r="54" spans="3:4" x14ac:dyDescent="0.35">
      <c r="C54">
        <v>889781000006112</v>
      </c>
      <c r="D54" t="e">
        <f t="shared" si="0"/>
        <v>#N/A</v>
      </c>
    </row>
    <row r="55" spans="3:4" x14ac:dyDescent="0.35">
      <c r="C55">
        <v>989301000006113</v>
      </c>
      <c r="D55" t="e">
        <f t="shared" si="0"/>
        <v>#N/A</v>
      </c>
    </row>
    <row r="56" spans="3:4" x14ac:dyDescent="0.35">
      <c r="C56">
        <v>889771000006114</v>
      </c>
      <c r="D56" t="e">
        <f t="shared" si="0"/>
        <v>#N/A</v>
      </c>
    </row>
    <row r="57" spans="3:4" x14ac:dyDescent="0.35">
      <c r="C57">
        <v>989311000006111</v>
      </c>
      <c r="D57" t="e">
        <f t="shared" si="0"/>
        <v>#N/A</v>
      </c>
    </row>
    <row r="58" spans="3:4" x14ac:dyDescent="0.35">
      <c r="C58">
        <v>889761000006119</v>
      </c>
      <c r="D58" t="e">
        <f t="shared" si="0"/>
        <v>#N/A</v>
      </c>
    </row>
    <row r="59" spans="3:4" x14ac:dyDescent="0.35">
      <c r="C59">
        <v>989321000006115</v>
      </c>
      <c r="D59" t="e">
        <f t="shared" si="0"/>
        <v>#N/A</v>
      </c>
    </row>
    <row r="60" spans="3:4" x14ac:dyDescent="0.35">
      <c r="C60">
        <v>889821000006118</v>
      </c>
      <c r="D60" t="e">
        <f t="shared" si="0"/>
        <v>#N/A</v>
      </c>
    </row>
    <row r="61" spans="3:4" x14ac:dyDescent="0.35">
      <c r="C61">
        <v>889741000006118</v>
      </c>
      <c r="D61" t="e">
        <f t="shared" si="0"/>
        <v>#N/A</v>
      </c>
    </row>
    <row r="62" spans="3:4" x14ac:dyDescent="0.35">
      <c r="C62">
        <v>889811000006114</v>
      </c>
      <c r="D62" t="e">
        <f t="shared" si="0"/>
        <v>#N/A</v>
      </c>
    </row>
    <row r="63" spans="3:4" x14ac:dyDescent="0.35">
      <c r="C63">
        <v>889791000006110</v>
      </c>
      <c r="D63" t="e">
        <f t="shared" si="0"/>
        <v>#N/A</v>
      </c>
    </row>
    <row r="64" spans="3:4" x14ac:dyDescent="0.35">
      <c r="C64">
        <v>989291000006112</v>
      </c>
      <c r="D64" t="e">
        <f t="shared" si="0"/>
        <v>#N/A</v>
      </c>
    </row>
    <row r="65" spans="3:4" x14ac:dyDescent="0.35">
      <c r="C65" s="2">
        <v>3636531000006110</v>
      </c>
      <c r="D65" t="e">
        <f t="shared" si="0"/>
        <v>#N/A</v>
      </c>
    </row>
    <row r="66" spans="3:4" x14ac:dyDescent="0.35">
      <c r="C66">
        <v>116082011</v>
      </c>
      <c r="D66">
        <f t="shared" si="0"/>
        <v>1</v>
      </c>
    </row>
    <row r="67" spans="3:4" x14ac:dyDescent="0.35">
      <c r="C67" s="2">
        <v>5721481000006110</v>
      </c>
      <c r="D67" t="e">
        <f t="shared" ref="D67:D130" si="1">VLOOKUP(C67,$A:$B,2,0)</f>
        <v>#N/A</v>
      </c>
    </row>
    <row r="68" spans="3:4" x14ac:dyDescent="0.35">
      <c r="C68" s="2">
        <v>5721451000006110</v>
      </c>
      <c r="D68" t="e">
        <f t="shared" si="1"/>
        <v>#N/A</v>
      </c>
    </row>
    <row r="69" spans="3:4" x14ac:dyDescent="0.35">
      <c r="C69">
        <v>426510015</v>
      </c>
      <c r="D69">
        <f t="shared" si="1"/>
        <v>1</v>
      </c>
    </row>
    <row r="70" spans="3:4" x14ac:dyDescent="0.35">
      <c r="C70">
        <v>168751000006115</v>
      </c>
      <c r="D70">
        <f t="shared" si="1"/>
        <v>1</v>
      </c>
    </row>
    <row r="71" spans="3:4" x14ac:dyDescent="0.35">
      <c r="C71" s="2">
        <v>8045661000006110</v>
      </c>
      <c r="D71" t="e">
        <f t="shared" si="1"/>
        <v>#N/A</v>
      </c>
    </row>
    <row r="72" spans="3:4" x14ac:dyDescent="0.35">
      <c r="C72">
        <v>889731000006111</v>
      </c>
      <c r="D72" t="e">
        <f t="shared" si="1"/>
        <v>#N/A</v>
      </c>
    </row>
    <row r="73" spans="3:4" x14ac:dyDescent="0.35">
      <c r="C73">
        <v>168761000006118</v>
      </c>
      <c r="D73">
        <f t="shared" si="1"/>
        <v>1</v>
      </c>
    </row>
    <row r="74" spans="3:4" x14ac:dyDescent="0.35">
      <c r="C74">
        <v>309791014</v>
      </c>
      <c r="D74">
        <f t="shared" si="1"/>
        <v>1</v>
      </c>
    </row>
    <row r="75" spans="3:4" x14ac:dyDescent="0.35">
      <c r="C75">
        <v>309802019</v>
      </c>
      <c r="D75">
        <f t="shared" si="1"/>
        <v>1</v>
      </c>
    </row>
    <row r="76" spans="3:4" x14ac:dyDescent="0.35">
      <c r="C76" s="2">
        <v>1.37095610000061E+16</v>
      </c>
      <c r="D76" t="e">
        <f t="shared" si="1"/>
        <v>#N/A</v>
      </c>
    </row>
    <row r="77" spans="3:4" x14ac:dyDescent="0.35">
      <c r="C77" s="2">
        <v>1.37095810000061E+16</v>
      </c>
      <c r="D77" t="e">
        <f t="shared" si="1"/>
        <v>#N/A</v>
      </c>
    </row>
    <row r="78" spans="3:4" x14ac:dyDescent="0.35">
      <c r="C78" s="2">
        <v>1.37095510000061E+16</v>
      </c>
      <c r="D78" t="e">
        <f t="shared" si="1"/>
        <v>#N/A</v>
      </c>
    </row>
    <row r="79" spans="3:4" x14ac:dyDescent="0.35">
      <c r="C79">
        <v>309787016</v>
      </c>
      <c r="D79">
        <f t="shared" si="1"/>
        <v>1</v>
      </c>
    </row>
    <row r="80" spans="3:4" x14ac:dyDescent="0.35">
      <c r="C80">
        <v>162041000006117</v>
      </c>
      <c r="D80">
        <f t="shared" si="1"/>
        <v>1</v>
      </c>
    </row>
    <row r="81" spans="3:4" x14ac:dyDescent="0.35">
      <c r="C81" s="2">
        <v>4809101000006110</v>
      </c>
      <c r="D81" t="e">
        <f t="shared" si="1"/>
        <v>#N/A</v>
      </c>
    </row>
    <row r="82" spans="3:4" x14ac:dyDescent="0.35">
      <c r="C82">
        <v>162051000006115</v>
      </c>
      <c r="D82">
        <f t="shared" si="1"/>
        <v>1</v>
      </c>
    </row>
    <row r="83" spans="3:4" x14ac:dyDescent="0.35">
      <c r="C83">
        <v>309792019</v>
      </c>
      <c r="D83">
        <f t="shared" si="1"/>
        <v>1</v>
      </c>
    </row>
    <row r="84" spans="3:4" x14ac:dyDescent="0.35">
      <c r="C84" s="2">
        <v>4809221000006110</v>
      </c>
      <c r="D84" t="e">
        <f t="shared" si="1"/>
        <v>#N/A</v>
      </c>
    </row>
    <row r="85" spans="3:4" x14ac:dyDescent="0.35">
      <c r="C85" s="2">
        <v>7099641000006110</v>
      </c>
      <c r="D85" t="e">
        <f t="shared" si="1"/>
        <v>#N/A</v>
      </c>
    </row>
    <row r="86" spans="3:4" x14ac:dyDescent="0.35">
      <c r="C86" s="2">
        <v>5721471000006110</v>
      </c>
      <c r="D86" t="e">
        <f t="shared" si="1"/>
        <v>#N/A</v>
      </c>
    </row>
    <row r="87" spans="3:4" x14ac:dyDescent="0.35">
      <c r="C87">
        <v>309798015</v>
      </c>
      <c r="D87">
        <f t="shared" si="1"/>
        <v>1</v>
      </c>
    </row>
    <row r="88" spans="3:4" x14ac:dyDescent="0.35">
      <c r="C88">
        <v>162081000006111</v>
      </c>
      <c r="D88" t="e">
        <f t="shared" si="1"/>
        <v>#N/A</v>
      </c>
    </row>
    <row r="89" spans="3:4" x14ac:dyDescent="0.35">
      <c r="C89" s="2">
        <v>1.36050010000061E+16</v>
      </c>
      <c r="D89" t="e">
        <f t="shared" si="1"/>
        <v>#N/A</v>
      </c>
    </row>
    <row r="90" spans="3:4" x14ac:dyDescent="0.35">
      <c r="C90">
        <v>309800010</v>
      </c>
      <c r="D90">
        <f t="shared" si="1"/>
        <v>1</v>
      </c>
    </row>
    <row r="91" spans="3:4" x14ac:dyDescent="0.35">
      <c r="C91" s="2">
        <v>1.36876810000061E+16</v>
      </c>
      <c r="D91" t="e">
        <f t="shared" si="1"/>
        <v>#N/A</v>
      </c>
    </row>
    <row r="92" spans="3:4" x14ac:dyDescent="0.35">
      <c r="C92">
        <v>3528259014</v>
      </c>
      <c r="D92" t="e">
        <f t="shared" si="1"/>
        <v>#N/A</v>
      </c>
    </row>
    <row r="93" spans="3:4" x14ac:dyDescent="0.35">
      <c r="C93">
        <v>3528264013</v>
      </c>
      <c r="D93" t="e">
        <f t="shared" si="1"/>
        <v>#N/A</v>
      </c>
    </row>
    <row r="94" spans="3:4" x14ac:dyDescent="0.35">
      <c r="C94" s="2">
        <v>8447181000006110</v>
      </c>
      <c r="D94" t="e">
        <f t="shared" si="1"/>
        <v>#N/A</v>
      </c>
    </row>
    <row r="95" spans="3:4" x14ac:dyDescent="0.35">
      <c r="C95" s="2">
        <v>1.21140510000061E+16</v>
      </c>
      <c r="D95" t="e">
        <f t="shared" si="1"/>
        <v>#N/A</v>
      </c>
    </row>
    <row r="96" spans="3:4" x14ac:dyDescent="0.35">
      <c r="C96" s="2">
        <v>1.36876910000061E+16</v>
      </c>
      <c r="D96" t="e">
        <f t="shared" si="1"/>
        <v>#N/A</v>
      </c>
    </row>
    <row r="97" spans="3:4" x14ac:dyDescent="0.35">
      <c r="C97">
        <v>162101000006115</v>
      </c>
      <c r="D97">
        <f t="shared" si="1"/>
        <v>1</v>
      </c>
    </row>
    <row r="98" spans="3:4" x14ac:dyDescent="0.35">
      <c r="C98">
        <v>162111000006117</v>
      </c>
      <c r="D98">
        <f t="shared" si="1"/>
        <v>1</v>
      </c>
    </row>
    <row r="99" spans="3:4" x14ac:dyDescent="0.35">
      <c r="C99" s="2">
        <v>5721431000006110</v>
      </c>
      <c r="D99" t="e">
        <f t="shared" si="1"/>
        <v>#N/A</v>
      </c>
    </row>
    <row r="100" spans="3:4" x14ac:dyDescent="0.35">
      <c r="C100">
        <v>309805017</v>
      </c>
      <c r="D100">
        <f t="shared" si="1"/>
        <v>1</v>
      </c>
    </row>
    <row r="101" spans="3:4" x14ac:dyDescent="0.35">
      <c r="C101">
        <v>162131000006111</v>
      </c>
      <c r="D101">
        <f t="shared" si="1"/>
        <v>1</v>
      </c>
    </row>
    <row r="102" spans="3:4" x14ac:dyDescent="0.35">
      <c r="C102" s="2">
        <v>1.36877010000061E+16</v>
      </c>
      <c r="D102" t="e">
        <f t="shared" si="1"/>
        <v>#N/A</v>
      </c>
    </row>
    <row r="103" spans="3:4" x14ac:dyDescent="0.35">
      <c r="C103">
        <v>3528262012</v>
      </c>
      <c r="D103" t="e">
        <f t="shared" si="1"/>
        <v>#N/A</v>
      </c>
    </row>
    <row r="104" spans="3:4" x14ac:dyDescent="0.35">
      <c r="C104">
        <v>3528266010</v>
      </c>
      <c r="D104" t="e">
        <f t="shared" si="1"/>
        <v>#N/A</v>
      </c>
    </row>
    <row r="105" spans="3:4" x14ac:dyDescent="0.35">
      <c r="C105" s="2">
        <v>8447281000006110</v>
      </c>
      <c r="D105" t="e">
        <f t="shared" si="1"/>
        <v>#N/A</v>
      </c>
    </row>
    <row r="106" spans="3:4" x14ac:dyDescent="0.35">
      <c r="C106" s="2">
        <v>1.21140610000061E+16</v>
      </c>
      <c r="D106" t="e">
        <f t="shared" si="1"/>
        <v>#N/A</v>
      </c>
    </row>
    <row r="107" spans="3:4" x14ac:dyDescent="0.35">
      <c r="C107" s="2">
        <v>1.36877110000061E+16</v>
      </c>
      <c r="D107" t="e">
        <f t="shared" si="1"/>
        <v>#N/A</v>
      </c>
    </row>
    <row r="108" spans="3:4" x14ac:dyDescent="0.35">
      <c r="C108">
        <v>162141000006118</v>
      </c>
      <c r="D108">
        <f t="shared" si="1"/>
        <v>1</v>
      </c>
    </row>
    <row r="109" spans="3:4" x14ac:dyDescent="0.35">
      <c r="C109">
        <v>309789018</v>
      </c>
      <c r="D109">
        <f t="shared" si="1"/>
        <v>1</v>
      </c>
    </row>
    <row r="110" spans="3:4" x14ac:dyDescent="0.35">
      <c r="C110">
        <v>309788014</v>
      </c>
      <c r="D110">
        <f t="shared" si="1"/>
        <v>1</v>
      </c>
    </row>
    <row r="111" spans="3:4" x14ac:dyDescent="0.35">
      <c r="C111">
        <v>309790010</v>
      </c>
      <c r="D111" t="e">
        <f t="shared" si="1"/>
        <v>#N/A</v>
      </c>
    </row>
    <row r="112" spans="3:4" x14ac:dyDescent="0.35">
      <c r="C112">
        <v>309803012</v>
      </c>
      <c r="D112">
        <f t="shared" si="1"/>
        <v>1</v>
      </c>
    </row>
    <row r="113" spans="3:4" x14ac:dyDescent="0.35">
      <c r="C113">
        <v>309804018</v>
      </c>
      <c r="D113">
        <f t="shared" si="1"/>
        <v>1</v>
      </c>
    </row>
    <row r="114" spans="3:4" x14ac:dyDescent="0.35">
      <c r="C114" s="2">
        <v>7078501000006110</v>
      </c>
      <c r="D114" t="e">
        <f t="shared" si="1"/>
        <v>#N/A</v>
      </c>
    </row>
    <row r="115" spans="3:4" x14ac:dyDescent="0.35">
      <c r="C115" s="2">
        <v>4809181000006110</v>
      </c>
      <c r="D115" t="e">
        <f t="shared" si="1"/>
        <v>#N/A</v>
      </c>
    </row>
    <row r="116" spans="3:4" x14ac:dyDescent="0.35">
      <c r="C116">
        <v>162191000006110</v>
      </c>
      <c r="D116" t="e">
        <f t="shared" si="1"/>
        <v>#N/A</v>
      </c>
    </row>
    <row r="117" spans="3:4" x14ac:dyDescent="0.35">
      <c r="C117">
        <v>309794018</v>
      </c>
      <c r="D117">
        <f t="shared" si="1"/>
        <v>1</v>
      </c>
    </row>
    <row r="118" spans="3:4" x14ac:dyDescent="0.35">
      <c r="C118" s="2">
        <v>1.45128910000061E+16</v>
      </c>
      <c r="D118" t="e">
        <f t="shared" si="1"/>
        <v>#N/A</v>
      </c>
    </row>
    <row r="119" spans="3:4" x14ac:dyDescent="0.35">
      <c r="C119">
        <v>16911000006114</v>
      </c>
      <c r="D119">
        <f t="shared" si="1"/>
        <v>1</v>
      </c>
    </row>
    <row r="120" spans="3:4" x14ac:dyDescent="0.35">
      <c r="C120">
        <v>3514958019</v>
      </c>
      <c r="D120" t="e">
        <f t="shared" si="1"/>
        <v>#N/A</v>
      </c>
    </row>
    <row r="121" spans="3:4" x14ac:dyDescent="0.35">
      <c r="C121">
        <v>162231000006117</v>
      </c>
      <c r="D121">
        <f t="shared" si="1"/>
        <v>1</v>
      </c>
    </row>
    <row r="122" spans="3:4" x14ac:dyDescent="0.35">
      <c r="C122" s="2">
        <v>3636551000006110</v>
      </c>
      <c r="D122" t="e">
        <f t="shared" si="1"/>
        <v>#N/A</v>
      </c>
    </row>
    <row r="123" spans="3:4" x14ac:dyDescent="0.35">
      <c r="C123">
        <v>162301000006117</v>
      </c>
      <c r="D123">
        <f t="shared" si="1"/>
        <v>1</v>
      </c>
    </row>
    <row r="124" spans="3:4" x14ac:dyDescent="0.35">
      <c r="C124">
        <v>1786545019</v>
      </c>
      <c r="D124">
        <f t="shared" si="1"/>
        <v>1</v>
      </c>
    </row>
    <row r="125" spans="3:4" x14ac:dyDescent="0.35">
      <c r="C125">
        <v>1778239014</v>
      </c>
      <c r="D125">
        <f t="shared" si="1"/>
        <v>1</v>
      </c>
    </row>
    <row r="126" spans="3:4" x14ac:dyDescent="0.35">
      <c r="C126" s="2">
        <v>8102191000006110</v>
      </c>
      <c r="D126" t="e">
        <f t="shared" si="1"/>
        <v>#N/A</v>
      </c>
    </row>
    <row r="127" spans="3:4" x14ac:dyDescent="0.35">
      <c r="C127">
        <v>162341000006115</v>
      </c>
      <c r="D127">
        <f t="shared" si="1"/>
        <v>1</v>
      </c>
    </row>
    <row r="128" spans="3:4" x14ac:dyDescent="0.35">
      <c r="C128">
        <v>485614018</v>
      </c>
      <c r="D128">
        <f t="shared" si="1"/>
        <v>1</v>
      </c>
    </row>
    <row r="129" spans="3:4" x14ac:dyDescent="0.35">
      <c r="C129" s="2">
        <v>1.44939410000061E+16</v>
      </c>
      <c r="D129" t="e">
        <f t="shared" si="1"/>
        <v>#N/A</v>
      </c>
    </row>
    <row r="130" spans="3:4" x14ac:dyDescent="0.35">
      <c r="C130">
        <v>1779323014</v>
      </c>
      <c r="D130">
        <f t="shared" si="1"/>
        <v>1</v>
      </c>
    </row>
    <row r="131" spans="3:4" x14ac:dyDescent="0.35">
      <c r="C131">
        <v>215551000000114</v>
      </c>
      <c r="D131" t="e">
        <f t="shared" ref="D131:D144" si="2">VLOOKUP(C131,$A:$B,2,0)</f>
        <v>#N/A</v>
      </c>
    </row>
    <row r="132" spans="3:4" x14ac:dyDescent="0.35">
      <c r="C132">
        <v>219271000000117</v>
      </c>
      <c r="D132" t="e">
        <f t="shared" si="2"/>
        <v>#N/A</v>
      </c>
    </row>
    <row r="133" spans="3:4" x14ac:dyDescent="0.35">
      <c r="C133">
        <v>359292012</v>
      </c>
      <c r="D133">
        <f t="shared" si="2"/>
        <v>1</v>
      </c>
    </row>
    <row r="134" spans="3:4" x14ac:dyDescent="0.35">
      <c r="C134" s="2">
        <v>1.45147510000061E+16</v>
      </c>
      <c r="D134" t="e">
        <f t="shared" si="2"/>
        <v>#N/A</v>
      </c>
    </row>
    <row r="135" spans="3:4" x14ac:dyDescent="0.35">
      <c r="C135" s="2">
        <v>1.36775310000061E+16</v>
      </c>
      <c r="D135" t="e">
        <f t="shared" si="2"/>
        <v>#N/A</v>
      </c>
    </row>
    <row r="136" spans="3:4" x14ac:dyDescent="0.35">
      <c r="C136">
        <v>451461014</v>
      </c>
      <c r="D136">
        <f t="shared" si="2"/>
        <v>1</v>
      </c>
    </row>
    <row r="137" spans="3:4" x14ac:dyDescent="0.35">
      <c r="C137">
        <v>149911000006117</v>
      </c>
      <c r="D137">
        <f t="shared" si="2"/>
        <v>1</v>
      </c>
    </row>
    <row r="138" spans="3:4" x14ac:dyDescent="0.35">
      <c r="C138" s="2">
        <v>9357441000006110</v>
      </c>
      <c r="D138" t="e">
        <f t="shared" si="2"/>
        <v>#N/A</v>
      </c>
    </row>
    <row r="139" spans="3:4" x14ac:dyDescent="0.35">
      <c r="C139" s="2">
        <v>2653381000006110</v>
      </c>
      <c r="D139" t="e">
        <f t="shared" si="2"/>
        <v>#N/A</v>
      </c>
    </row>
    <row r="140" spans="3:4" x14ac:dyDescent="0.35">
      <c r="C140">
        <v>889841000006113</v>
      </c>
      <c r="D140" t="e">
        <f t="shared" si="2"/>
        <v>#N/A</v>
      </c>
    </row>
    <row r="141" spans="3:4" x14ac:dyDescent="0.35">
      <c r="C141" s="2">
        <v>3042571000006110</v>
      </c>
      <c r="D141" t="e">
        <f t="shared" si="2"/>
        <v>#N/A</v>
      </c>
    </row>
    <row r="142" spans="3:4" x14ac:dyDescent="0.35">
      <c r="C142" s="2">
        <v>4809311000006110</v>
      </c>
      <c r="D142" t="e">
        <f t="shared" si="2"/>
        <v>#N/A</v>
      </c>
    </row>
    <row r="143" spans="3:4" x14ac:dyDescent="0.35">
      <c r="C143" s="2">
        <v>4809281000006110</v>
      </c>
      <c r="D143" t="e">
        <f t="shared" si="2"/>
        <v>#N/A</v>
      </c>
    </row>
    <row r="144" spans="3:4" x14ac:dyDescent="0.35">
      <c r="C144" s="2">
        <v>3901751000006110</v>
      </c>
      <c r="D144" t="e">
        <f t="shared" si="2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exeter_ra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2026-04-09T15:19:11Z</dcterms:created>
  <dcterms:modified xsi:type="dcterms:W3CDTF">2026-04-09T15:25:24Z</dcterms:modified>
</cp:coreProperties>
</file>